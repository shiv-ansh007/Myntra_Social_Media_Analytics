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Myntra_Social_Media_Analytics\Myntra_Social_Media_Analytics\"/>
    </mc:Choice>
  </mc:AlternateContent>
  <xr:revisionPtr revIDLastSave="0" documentId="13_ncr:1_{82E3967C-FBAB-48B9-A6B8-5D08CF8E58C5}" xr6:coauthVersionLast="47" xr6:coauthVersionMax="47" xr10:uidLastSave="{00000000-0000-0000-0000-000000000000}"/>
  <bookViews>
    <workbookView xWindow="-108" yWindow="-108" windowWidth="23256" windowHeight="13176" tabRatio="834" activeTab="7" xr2:uid="{0BF90E6C-B3AC-4A4C-BC91-194133B7E0C1}"/>
  </bookViews>
  <sheets>
    <sheet name=" Introduction" sheetId="46" r:id="rId1"/>
    <sheet name="Post" sheetId="27" r:id="rId2"/>
    <sheet name="Campaign Data" sheetId="31" r:id="rId3"/>
    <sheet name=" Raw_data" sheetId="34" r:id="rId4"/>
    <sheet name=" Normalized_hastags" sheetId="33" r:id="rId5"/>
    <sheet name="Engagment Summary" sheetId="30" r:id="rId6"/>
    <sheet name=" Content_enagement" sheetId="32" r:id="rId7"/>
    <sheet name=" Top_Engagement_Posts" sheetId="23" r:id="rId8"/>
    <sheet name=" Avg_Clicks_By_Hashtag" sheetId="16" r:id="rId9"/>
    <sheet name=" Total Likes, Shares, Comments " sheetId="15" r:id="rId10"/>
    <sheet name=" hastags_Engagement" sheetId="17" r:id="rId11"/>
    <sheet name="task-3---&gt;" sheetId="39" r:id="rId12"/>
    <sheet name=" platform_highest_Engageme" sheetId="18" r:id="rId13"/>
    <sheet name=" Follower_Growth_By_Platform" sheetId="19" r:id="rId14"/>
    <sheet name="  Engagement_vs_Ad_Spends" sheetId="14" r:id="rId15"/>
    <sheet name=" task-4---&gt;" sheetId="40" r:id="rId16"/>
    <sheet name=" most_frequent_ha" sheetId="21" r:id="rId17"/>
    <sheet name=" content_performance" sheetId="41" r:id="rId18"/>
    <sheet name="  average performance of posts " sheetId="22" r:id="rId19"/>
    <sheet name=" task-5--&gt;" sheetId="42" r:id="rId20"/>
    <sheet name=" Total &amp; Average Impressions, L" sheetId="24" r:id="rId21"/>
    <sheet name=" Engagement uplift during vs. b" sheetId="26" r:id="rId22"/>
    <sheet name=" Engagement_uplift" sheetId="25" r:id="rId23"/>
    <sheet name=" task-6--&gt;" sheetId="43" r:id="rId24"/>
    <sheet name=" weekly follower growth per pla" sheetId="1" r:id="rId25"/>
    <sheet name=" averages to smooth growth " sheetId="3" r:id="rId26"/>
    <sheet name=" Correlate ad_spends. followe" sheetId="5" r:id="rId27"/>
    <sheet name=" Net_follower_gain_weeks" sheetId="29" r:id="rId28"/>
    <sheet name=" Video_link" sheetId="45" r:id="rId29"/>
  </sheets>
  <definedNames>
    <definedName name="_xlnm._FilterDatabase" localSheetId="26" hidden="1">' Correlate ad_spends. followe'!#REF!</definedName>
    <definedName name="_xlnm._FilterDatabase" localSheetId="7" hidden="1">' Top_Engagement_Posts'!$A$1:$D$11</definedName>
    <definedName name="_xlnm._FilterDatabase" localSheetId="1" hidden="1">Post!$A$1:$L$1</definedName>
    <definedName name="ExternalData_1" localSheetId="18" hidden="1">'  average performance of posts '!#REF!</definedName>
    <definedName name="ExternalData_1" localSheetId="4" hidden="1">' Normalized_hastags'!$A$1:$N$457</definedName>
    <definedName name="ExternalData_1" localSheetId="7" hidden="1">' Top_Engagement_Posts'!#REF!</definedName>
  </definedNames>
  <calcPr calcId="191029"/>
  <pivotCaches>
    <pivotCache cacheId="0" r:id="rId30"/>
    <pivotCache cacheId="1" r:id="rId31"/>
    <pivotCache cacheId="2" r:id="rId32"/>
    <pivotCache cacheId="3" r:id="rId33"/>
    <pivotCache cacheId="4" r:id="rId3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5" l="1"/>
  <c r="N301" i="34" l="1"/>
  <c r="N300" i="34"/>
  <c r="N299" i="34"/>
  <c r="N298" i="34"/>
  <c r="N297" i="34"/>
  <c r="N296" i="34"/>
  <c r="N295" i="34"/>
  <c r="N294" i="34"/>
  <c r="N293" i="34"/>
  <c r="N292" i="34"/>
  <c r="N291" i="34"/>
  <c r="N290" i="34"/>
  <c r="N289" i="34"/>
  <c r="N288" i="34"/>
  <c r="N287" i="34"/>
  <c r="N286" i="34"/>
  <c r="N285" i="34"/>
  <c r="N284" i="34"/>
  <c r="N283" i="34"/>
  <c r="N282" i="34"/>
  <c r="N281" i="34"/>
  <c r="N280" i="34"/>
  <c r="N279" i="34"/>
  <c r="N278" i="34"/>
  <c r="N277" i="34"/>
  <c r="N276" i="34"/>
  <c r="N275" i="34"/>
  <c r="N274" i="34"/>
  <c r="N273" i="34"/>
  <c r="N272" i="34"/>
  <c r="N271" i="34"/>
  <c r="N270" i="34"/>
  <c r="N269" i="34"/>
  <c r="N268" i="34"/>
  <c r="N267" i="34"/>
  <c r="N266" i="34"/>
  <c r="N265" i="34"/>
  <c r="N264" i="34"/>
  <c r="N263" i="34"/>
  <c r="N262" i="34"/>
  <c r="N261" i="34"/>
  <c r="N260" i="34"/>
  <c r="N259" i="34"/>
  <c r="N258" i="34"/>
  <c r="N257" i="34"/>
  <c r="N256" i="34"/>
  <c r="N255" i="34"/>
  <c r="N254" i="34"/>
  <c r="N253" i="34"/>
  <c r="N252" i="34"/>
  <c r="N251" i="34"/>
  <c r="N250" i="34"/>
  <c r="N249" i="34"/>
  <c r="N248" i="34"/>
  <c r="N247" i="34"/>
  <c r="N246" i="34"/>
  <c r="N245" i="34"/>
  <c r="N244" i="34"/>
  <c r="N243" i="34"/>
  <c r="N242" i="34"/>
  <c r="N241" i="34"/>
  <c r="N240" i="34"/>
  <c r="N239" i="34"/>
  <c r="N238" i="34"/>
  <c r="N237" i="34"/>
  <c r="N236" i="34"/>
  <c r="N235" i="34"/>
  <c r="N234" i="34"/>
  <c r="N233" i="34"/>
  <c r="N232" i="34"/>
  <c r="N231" i="34"/>
  <c r="N230" i="34"/>
  <c r="N229" i="34"/>
  <c r="N228" i="34"/>
  <c r="N227" i="34"/>
  <c r="N226" i="34"/>
  <c r="N225" i="34"/>
  <c r="N224" i="34"/>
  <c r="N223" i="34"/>
  <c r="N222" i="34"/>
  <c r="N221" i="34"/>
  <c r="N220" i="34"/>
  <c r="N219" i="34"/>
  <c r="N218" i="34"/>
  <c r="N217" i="34"/>
  <c r="N216" i="34"/>
  <c r="N215" i="34"/>
  <c r="N214" i="34"/>
  <c r="N213" i="34"/>
  <c r="N212" i="34"/>
  <c r="N211" i="34"/>
  <c r="N210" i="34"/>
  <c r="N209" i="34"/>
  <c r="N208" i="34"/>
  <c r="N207" i="34"/>
  <c r="N206" i="34"/>
  <c r="N205" i="34"/>
  <c r="N204" i="34"/>
  <c r="N203" i="34"/>
  <c r="N202" i="34"/>
  <c r="N201" i="34"/>
  <c r="N200" i="34"/>
  <c r="N199" i="34"/>
  <c r="N198" i="34"/>
  <c r="N197" i="34"/>
  <c r="N196" i="34"/>
  <c r="N195" i="34"/>
  <c r="N194" i="34"/>
  <c r="N193" i="34"/>
  <c r="N192" i="34"/>
  <c r="N191" i="34"/>
  <c r="N190" i="34"/>
  <c r="N189" i="34"/>
  <c r="N188" i="34"/>
  <c r="N187" i="34"/>
  <c r="N186" i="34"/>
  <c r="N185" i="34"/>
  <c r="N184" i="34"/>
  <c r="N183" i="34"/>
  <c r="N182" i="34"/>
  <c r="N181" i="34"/>
  <c r="N180" i="34"/>
  <c r="N179" i="34"/>
  <c r="N178" i="34"/>
  <c r="N177" i="34"/>
  <c r="N176" i="34"/>
  <c r="N175" i="34"/>
  <c r="N174" i="34"/>
  <c r="N173" i="34"/>
  <c r="N172" i="34"/>
  <c r="N171" i="34"/>
  <c r="N170" i="34"/>
  <c r="N169" i="34"/>
  <c r="N168" i="34"/>
  <c r="N167" i="34"/>
  <c r="N166" i="34"/>
  <c r="N165" i="34"/>
  <c r="N164" i="34"/>
  <c r="N163" i="34"/>
  <c r="N162" i="34"/>
  <c r="N161" i="34"/>
  <c r="N160" i="34"/>
  <c r="N159" i="34"/>
  <c r="N158" i="34"/>
  <c r="N157" i="34"/>
  <c r="N156" i="34"/>
  <c r="N155" i="34"/>
  <c r="N154" i="34"/>
  <c r="N153" i="34"/>
  <c r="N152" i="34"/>
  <c r="N151" i="34"/>
  <c r="N150" i="34"/>
  <c r="N149" i="34"/>
  <c r="N148" i="34"/>
  <c r="N147" i="34"/>
  <c r="N146" i="34"/>
  <c r="N145" i="34"/>
  <c r="N144" i="34"/>
  <c r="N143" i="34"/>
  <c r="N142" i="34"/>
  <c r="N141" i="34"/>
  <c r="N140" i="34"/>
  <c r="N139" i="34"/>
  <c r="N138" i="34"/>
  <c r="N137" i="34"/>
  <c r="N136" i="34"/>
  <c r="N135" i="34"/>
  <c r="N134" i="34"/>
  <c r="N133" i="34"/>
  <c r="N132" i="34"/>
  <c r="N131" i="34"/>
  <c r="N130" i="34"/>
  <c r="N129" i="34"/>
  <c r="N128" i="34"/>
  <c r="N127" i="34"/>
  <c r="N126" i="34"/>
  <c r="N125" i="34"/>
  <c r="N124" i="34"/>
  <c r="N123" i="34"/>
  <c r="N122" i="34"/>
  <c r="N121" i="34"/>
  <c r="N120" i="34"/>
  <c r="N119" i="34"/>
  <c r="N118" i="34"/>
  <c r="N117" i="34"/>
  <c r="N116" i="34"/>
  <c r="N115" i="34"/>
  <c r="N114" i="34"/>
  <c r="N113" i="34"/>
  <c r="N112" i="34"/>
  <c r="N111" i="34"/>
  <c r="N110" i="34"/>
  <c r="N109" i="34"/>
  <c r="N108" i="34"/>
  <c r="N107" i="34"/>
  <c r="N106" i="34"/>
  <c r="N105" i="34"/>
  <c r="N104" i="34"/>
  <c r="N103" i="34"/>
  <c r="N102" i="34"/>
  <c r="N101" i="34"/>
  <c r="N100" i="34"/>
  <c r="N99" i="34"/>
  <c r="N98" i="34"/>
  <c r="N97" i="34"/>
  <c r="N96" i="34"/>
  <c r="N95" i="34"/>
  <c r="N94" i="34"/>
  <c r="N93" i="34"/>
  <c r="N92" i="34"/>
  <c r="N91" i="34"/>
  <c r="N90" i="34"/>
  <c r="N89" i="34"/>
  <c r="N88" i="34"/>
  <c r="N87" i="34"/>
  <c r="N86" i="34"/>
  <c r="N85" i="34"/>
  <c r="N84" i="34"/>
  <c r="N83" i="34"/>
  <c r="N82" i="34"/>
  <c r="N81" i="34"/>
  <c r="N80" i="34"/>
  <c r="N79" i="34"/>
  <c r="N78" i="34"/>
  <c r="N77" i="34"/>
  <c r="N76" i="34"/>
  <c r="N75" i="34"/>
  <c r="N74" i="34"/>
  <c r="N73" i="34"/>
  <c r="N72" i="34"/>
  <c r="N71" i="34"/>
  <c r="N70" i="34"/>
  <c r="N69" i="34"/>
  <c r="N68" i="34"/>
  <c r="N67" i="34"/>
  <c r="N66" i="34"/>
  <c r="N65" i="34"/>
  <c r="N64" i="34"/>
  <c r="N63" i="34"/>
  <c r="N62" i="34"/>
  <c r="N61" i="34"/>
  <c r="N60" i="34"/>
  <c r="N59" i="34"/>
  <c r="N58" i="34"/>
  <c r="N57" i="34"/>
  <c r="N56" i="34"/>
  <c r="N55" i="34"/>
  <c r="N54" i="34"/>
  <c r="N53" i="34"/>
  <c r="N52" i="34"/>
  <c r="N51" i="34"/>
  <c r="N50" i="34"/>
  <c r="N49" i="34"/>
  <c r="N48" i="34"/>
  <c r="N47" i="34"/>
  <c r="N46" i="34"/>
  <c r="N45" i="34"/>
  <c r="N44" i="34"/>
  <c r="N43" i="34"/>
  <c r="N42" i="34"/>
  <c r="N41" i="34"/>
  <c r="N40" i="34"/>
  <c r="N39" i="34"/>
  <c r="N38" i="34"/>
  <c r="N37" i="34"/>
  <c r="N36" i="34"/>
  <c r="N35" i="34"/>
  <c r="N34" i="34"/>
  <c r="N33" i="34"/>
  <c r="N32" i="34"/>
  <c r="N31" i="34"/>
  <c r="N30" i="34"/>
  <c r="N29" i="34"/>
  <c r="N28" i="34"/>
  <c r="N27" i="34"/>
  <c r="N26" i="34"/>
  <c r="N25" i="34"/>
  <c r="N24" i="34"/>
  <c r="N23" i="34"/>
  <c r="N22" i="34"/>
  <c r="N21" i="34"/>
  <c r="N20" i="34"/>
  <c r="N19" i="34"/>
  <c r="N18" i="34"/>
  <c r="N17" i="34"/>
  <c r="N16" i="34"/>
  <c r="N15" i="34"/>
  <c r="N14" i="34"/>
  <c r="N13" i="34"/>
  <c r="N12" i="34"/>
  <c r="N11" i="34"/>
  <c r="N10" i="34"/>
  <c r="N9" i="34"/>
  <c r="N8" i="34"/>
  <c r="N7" i="34"/>
  <c r="N6" i="34"/>
  <c r="N5" i="34"/>
  <c r="N4" i="34"/>
  <c r="N3" i="34"/>
  <c r="N2" i="34"/>
  <c r="I201" i="30"/>
  <c r="H201" i="30"/>
  <c r="I200" i="30"/>
  <c r="H200" i="30"/>
  <c r="I199" i="30"/>
  <c r="H199" i="30"/>
  <c r="I198" i="30"/>
  <c r="H198" i="30"/>
  <c r="I197" i="30"/>
  <c r="H197" i="30"/>
  <c r="I196" i="30"/>
  <c r="H196" i="30"/>
  <c r="I195" i="30"/>
  <c r="H195" i="30"/>
  <c r="I194" i="30"/>
  <c r="H194" i="30"/>
  <c r="I193" i="30"/>
  <c r="H193" i="30"/>
  <c r="I192" i="30"/>
  <c r="H192" i="30"/>
  <c r="I191" i="30"/>
  <c r="H191" i="30"/>
  <c r="I190" i="30"/>
  <c r="H190" i="30"/>
  <c r="I189" i="30"/>
  <c r="H189" i="30"/>
  <c r="I188" i="30"/>
  <c r="H188" i="30"/>
  <c r="I187" i="30"/>
  <c r="H187" i="30"/>
  <c r="I186" i="30"/>
  <c r="H186" i="30"/>
  <c r="I185" i="30"/>
  <c r="H185" i="30"/>
  <c r="I184" i="30"/>
  <c r="H184" i="30"/>
  <c r="I183" i="30"/>
  <c r="H183" i="30"/>
  <c r="I182" i="30"/>
  <c r="H182" i="30"/>
  <c r="I181" i="30"/>
  <c r="H181" i="30"/>
  <c r="I180" i="30"/>
  <c r="H180" i="30"/>
  <c r="I179" i="30"/>
  <c r="H179" i="30"/>
  <c r="I178" i="30"/>
  <c r="H178" i="30"/>
  <c r="I177" i="30"/>
  <c r="H177" i="30"/>
  <c r="I176" i="30"/>
  <c r="H176" i="30"/>
  <c r="I175" i="30"/>
  <c r="H175" i="30"/>
  <c r="I174" i="30"/>
  <c r="H174" i="30"/>
  <c r="I173" i="30"/>
  <c r="H173" i="30"/>
  <c r="I172" i="30"/>
  <c r="H172" i="30"/>
  <c r="I171" i="30"/>
  <c r="H171" i="30"/>
  <c r="I170" i="30"/>
  <c r="H170" i="30"/>
  <c r="I169" i="30"/>
  <c r="H169" i="30"/>
  <c r="I168" i="30"/>
  <c r="H168" i="30"/>
  <c r="I167" i="30"/>
  <c r="H167" i="30"/>
  <c r="I166" i="30"/>
  <c r="H166" i="30"/>
  <c r="I165" i="30"/>
  <c r="H165" i="30"/>
  <c r="I164" i="30"/>
  <c r="H164" i="30"/>
  <c r="I163" i="30"/>
  <c r="H163" i="30"/>
  <c r="I162" i="30"/>
  <c r="H162" i="30"/>
  <c r="I161" i="30"/>
  <c r="H161" i="30"/>
  <c r="I160" i="30"/>
  <c r="H160" i="30"/>
  <c r="I159" i="30"/>
  <c r="H159" i="30"/>
  <c r="I158" i="30"/>
  <c r="H158" i="30"/>
  <c r="I157" i="30"/>
  <c r="H157" i="30"/>
  <c r="I156" i="30"/>
  <c r="H156" i="30"/>
  <c r="I155" i="30"/>
  <c r="H155" i="30"/>
  <c r="I154" i="30"/>
  <c r="H154" i="30"/>
  <c r="I153" i="30"/>
  <c r="H153" i="30"/>
  <c r="I152" i="30"/>
  <c r="H152" i="30"/>
  <c r="I151" i="30"/>
  <c r="H151" i="30"/>
  <c r="I150" i="30"/>
  <c r="H150" i="30"/>
  <c r="I149" i="30"/>
  <c r="H149" i="30"/>
  <c r="I148" i="30"/>
  <c r="H148" i="30"/>
  <c r="I147" i="30"/>
  <c r="H147" i="30"/>
  <c r="I146" i="30"/>
  <c r="H146" i="30"/>
  <c r="I145" i="30"/>
  <c r="H145" i="30"/>
  <c r="I144" i="30"/>
  <c r="H144" i="30"/>
  <c r="I143" i="30"/>
  <c r="H143" i="30"/>
  <c r="I142" i="30"/>
  <c r="H142" i="30"/>
  <c r="I141" i="30"/>
  <c r="H141" i="30"/>
  <c r="I140" i="30"/>
  <c r="H140" i="30"/>
  <c r="I139" i="30"/>
  <c r="H139" i="30"/>
  <c r="I138" i="30"/>
  <c r="H138" i="30"/>
  <c r="I137" i="30"/>
  <c r="H137" i="30"/>
  <c r="I136" i="30"/>
  <c r="H136" i="30"/>
  <c r="I135" i="30"/>
  <c r="H135" i="30"/>
  <c r="I134" i="30"/>
  <c r="H134" i="30"/>
  <c r="I133" i="30"/>
  <c r="H133" i="30"/>
  <c r="I132" i="30"/>
  <c r="H132" i="30"/>
  <c r="I131" i="30"/>
  <c r="H131" i="30"/>
  <c r="I130" i="30"/>
  <c r="H130" i="30"/>
  <c r="I129" i="30"/>
  <c r="H129" i="30"/>
  <c r="I128" i="30"/>
  <c r="H128" i="30"/>
  <c r="I127" i="30"/>
  <c r="H127" i="30"/>
  <c r="I126" i="30"/>
  <c r="H126" i="30"/>
  <c r="I125" i="30"/>
  <c r="H125" i="30"/>
  <c r="I124" i="30"/>
  <c r="H124" i="30"/>
  <c r="I123" i="30"/>
  <c r="H123" i="30"/>
  <c r="I122" i="30"/>
  <c r="H122" i="30"/>
  <c r="I121" i="30"/>
  <c r="H121" i="30"/>
  <c r="I120" i="30"/>
  <c r="H120" i="30"/>
  <c r="I119" i="30"/>
  <c r="H119" i="30"/>
  <c r="I118" i="30"/>
  <c r="H118" i="30"/>
  <c r="I117" i="30"/>
  <c r="H117" i="30"/>
  <c r="I116" i="30"/>
  <c r="H116" i="30"/>
  <c r="I115" i="30"/>
  <c r="H115" i="30"/>
  <c r="I114" i="30"/>
  <c r="H114" i="30"/>
  <c r="I113" i="30"/>
  <c r="H113" i="30"/>
  <c r="I112" i="30"/>
  <c r="H112" i="30"/>
  <c r="I111" i="30"/>
  <c r="H111" i="30"/>
  <c r="I110" i="30"/>
  <c r="H110" i="30"/>
  <c r="I109" i="30"/>
  <c r="H109" i="30"/>
  <c r="I108" i="30"/>
  <c r="H108" i="30"/>
  <c r="I107" i="30"/>
  <c r="H107" i="30"/>
  <c r="I106" i="30"/>
  <c r="H106" i="30"/>
  <c r="I105" i="30"/>
  <c r="H105" i="30"/>
  <c r="I104" i="30"/>
  <c r="H104" i="30"/>
  <c r="I103" i="30"/>
  <c r="H103" i="30"/>
  <c r="I102" i="30"/>
  <c r="H102" i="30"/>
  <c r="I101" i="30"/>
  <c r="H101" i="30"/>
  <c r="I100" i="30"/>
  <c r="H100" i="30"/>
  <c r="I99" i="30"/>
  <c r="H99" i="30"/>
  <c r="I98" i="30"/>
  <c r="H98" i="30"/>
  <c r="I97" i="30"/>
  <c r="H97" i="30"/>
  <c r="I96" i="30"/>
  <c r="H96" i="30"/>
  <c r="I95" i="30"/>
  <c r="H95" i="30"/>
  <c r="I94" i="30"/>
  <c r="H94" i="30"/>
  <c r="I93" i="30"/>
  <c r="H93" i="30"/>
  <c r="I92" i="30"/>
  <c r="H92" i="30"/>
  <c r="I91" i="30"/>
  <c r="H91" i="30"/>
  <c r="I90" i="30"/>
  <c r="H90" i="30"/>
  <c r="I89" i="30"/>
  <c r="H89" i="30"/>
  <c r="I88" i="30"/>
  <c r="H88" i="30"/>
  <c r="I87" i="30"/>
  <c r="H87" i="30"/>
  <c r="I86" i="30"/>
  <c r="H86" i="30"/>
  <c r="I85" i="30"/>
  <c r="H85" i="30"/>
  <c r="I84" i="30"/>
  <c r="H84" i="30"/>
  <c r="I83" i="30"/>
  <c r="H83" i="30"/>
  <c r="I82" i="30"/>
  <c r="H82" i="30"/>
  <c r="I81" i="30"/>
  <c r="H81" i="30"/>
  <c r="I80" i="30"/>
  <c r="H80" i="30"/>
  <c r="I79" i="30"/>
  <c r="H79" i="30"/>
  <c r="I78" i="30"/>
  <c r="H78" i="30"/>
  <c r="I77" i="30"/>
  <c r="H77" i="30"/>
  <c r="I76" i="30"/>
  <c r="H76" i="30"/>
  <c r="I75" i="30"/>
  <c r="H75" i="30"/>
  <c r="I74" i="30"/>
  <c r="H74" i="30"/>
  <c r="I73" i="30"/>
  <c r="H73" i="30"/>
  <c r="I72" i="30"/>
  <c r="H72" i="30"/>
  <c r="I71" i="30"/>
  <c r="H71" i="30"/>
  <c r="I70" i="30"/>
  <c r="H70" i="30"/>
  <c r="I69" i="30"/>
  <c r="H69" i="30"/>
  <c r="I68" i="30"/>
  <c r="H68" i="30"/>
  <c r="I67" i="30"/>
  <c r="H67" i="30"/>
  <c r="I66" i="30"/>
  <c r="H66" i="30"/>
  <c r="I65" i="30"/>
  <c r="H65" i="30"/>
  <c r="I64" i="30"/>
  <c r="H64" i="30"/>
  <c r="I63" i="30"/>
  <c r="H63" i="30"/>
  <c r="I62" i="30"/>
  <c r="H62" i="30"/>
  <c r="I61" i="30"/>
  <c r="H61" i="30"/>
  <c r="I60" i="30"/>
  <c r="H60" i="30"/>
  <c r="I59" i="30"/>
  <c r="H59" i="30"/>
  <c r="I58" i="30"/>
  <c r="H58" i="30"/>
  <c r="I57" i="30"/>
  <c r="H57" i="30"/>
  <c r="I56" i="30"/>
  <c r="H56" i="30"/>
  <c r="I55" i="30"/>
  <c r="H55" i="30"/>
  <c r="I54" i="30"/>
  <c r="H54" i="30"/>
  <c r="I53" i="30"/>
  <c r="H53" i="30"/>
  <c r="I52" i="30"/>
  <c r="H52" i="30"/>
  <c r="I51" i="30"/>
  <c r="H51" i="30"/>
  <c r="I50" i="30"/>
  <c r="H50" i="30"/>
  <c r="I49" i="30"/>
  <c r="H49" i="30"/>
  <c r="I48" i="30"/>
  <c r="H48" i="30"/>
  <c r="I47" i="30"/>
  <c r="H47" i="30"/>
  <c r="I46" i="30"/>
  <c r="H46" i="30"/>
  <c r="I45" i="30"/>
  <c r="H45" i="30"/>
  <c r="I44" i="30"/>
  <c r="H44" i="30"/>
  <c r="I43" i="30"/>
  <c r="H43" i="30"/>
  <c r="I42" i="30"/>
  <c r="H42" i="30"/>
  <c r="I41" i="30"/>
  <c r="H41" i="30"/>
  <c r="I40" i="30"/>
  <c r="H40" i="30"/>
  <c r="I39" i="30"/>
  <c r="H39" i="30"/>
  <c r="I38" i="30"/>
  <c r="H38" i="30"/>
  <c r="I37" i="30"/>
  <c r="H37" i="30"/>
  <c r="I36" i="30"/>
  <c r="H36" i="30"/>
  <c r="I35" i="30"/>
  <c r="H35" i="30"/>
  <c r="I34" i="30"/>
  <c r="H34" i="30"/>
  <c r="I33" i="30"/>
  <c r="H33" i="30"/>
  <c r="I32" i="30"/>
  <c r="H32" i="30"/>
  <c r="I31" i="30"/>
  <c r="H31" i="30"/>
  <c r="I30" i="30"/>
  <c r="H30" i="30"/>
  <c r="I29" i="30"/>
  <c r="H29" i="30"/>
  <c r="I28" i="30"/>
  <c r="H28" i="30"/>
  <c r="I27" i="30"/>
  <c r="H27" i="30"/>
  <c r="I26" i="30"/>
  <c r="H26" i="30"/>
  <c r="I25" i="30"/>
  <c r="H25" i="30"/>
  <c r="I24" i="30"/>
  <c r="H24" i="30"/>
  <c r="I23" i="30"/>
  <c r="H23" i="30"/>
  <c r="I22" i="30"/>
  <c r="H22" i="30"/>
  <c r="I21" i="30"/>
  <c r="H21" i="30"/>
  <c r="I20" i="30"/>
  <c r="H20" i="30"/>
  <c r="I19" i="30"/>
  <c r="H19" i="30"/>
  <c r="I18" i="30"/>
  <c r="H18" i="30"/>
  <c r="I17" i="30"/>
  <c r="H17" i="30"/>
  <c r="I16" i="30"/>
  <c r="H16" i="30"/>
  <c r="I15" i="30"/>
  <c r="H15" i="30"/>
  <c r="I14" i="30"/>
  <c r="H14" i="30"/>
  <c r="I13" i="30"/>
  <c r="H13" i="30"/>
  <c r="I12" i="30"/>
  <c r="H12" i="30"/>
  <c r="I11" i="30"/>
  <c r="H11" i="30"/>
  <c r="I10" i="30"/>
  <c r="H10" i="30"/>
  <c r="I9" i="30"/>
  <c r="H9" i="30"/>
  <c r="I8" i="30"/>
  <c r="H8" i="30"/>
  <c r="I7" i="30"/>
  <c r="H7" i="30"/>
  <c r="I6" i="30"/>
  <c r="H6" i="30"/>
  <c r="I5" i="30"/>
  <c r="H5" i="30"/>
  <c r="I4" i="30"/>
  <c r="H4" i="30"/>
  <c r="I3" i="30"/>
  <c r="H3" i="30"/>
  <c r="I2" i="30"/>
  <c r="H2" i="30"/>
  <c r="Q301" i="27"/>
  <c r="O301" i="27"/>
  <c r="Q300" i="27"/>
  <c r="O300" i="27"/>
  <c r="Q299" i="27"/>
  <c r="O299" i="27"/>
  <c r="Q298" i="27"/>
  <c r="O298" i="27"/>
  <c r="Q297" i="27"/>
  <c r="O297" i="27"/>
  <c r="Q296" i="27"/>
  <c r="O296" i="27"/>
  <c r="Q295" i="27"/>
  <c r="O295" i="27"/>
  <c r="Q294" i="27"/>
  <c r="O294" i="27"/>
  <c r="Q293" i="27"/>
  <c r="O293" i="27"/>
  <c r="Q292" i="27"/>
  <c r="O292" i="27"/>
  <c r="Q291" i="27"/>
  <c r="O291" i="27"/>
  <c r="Q290" i="27"/>
  <c r="O290" i="27"/>
  <c r="Q289" i="27"/>
  <c r="O289" i="27"/>
  <c r="Q288" i="27"/>
  <c r="O288" i="27"/>
  <c r="Q287" i="27"/>
  <c r="O287" i="27"/>
  <c r="Q286" i="27"/>
  <c r="O286" i="27"/>
  <c r="Q285" i="27"/>
  <c r="O285" i="27"/>
  <c r="Q284" i="27"/>
  <c r="O284" i="27"/>
  <c r="Q283" i="27"/>
  <c r="O283" i="27"/>
  <c r="Q282" i="27"/>
  <c r="O282" i="27"/>
  <c r="Q281" i="27"/>
  <c r="O281" i="27"/>
  <c r="Q280" i="27"/>
  <c r="O280" i="27"/>
  <c r="Q279" i="27"/>
  <c r="O279" i="27"/>
  <c r="Q278" i="27"/>
  <c r="O278" i="27"/>
  <c r="Q277" i="27"/>
  <c r="O277" i="27"/>
  <c r="Q276" i="27"/>
  <c r="O276" i="27"/>
  <c r="Q275" i="27"/>
  <c r="O275" i="27"/>
  <c r="Q274" i="27"/>
  <c r="O274" i="27"/>
  <c r="Q273" i="27"/>
  <c r="O273" i="27"/>
  <c r="Q272" i="27"/>
  <c r="O272" i="27"/>
  <c r="Q271" i="27"/>
  <c r="O271" i="27"/>
  <c r="Q270" i="27"/>
  <c r="O270" i="27"/>
  <c r="Q269" i="27"/>
  <c r="O269" i="27"/>
  <c r="Q268" i="27"/>
  <c r="O268" i="27"/>
  <c r="Q267" i="27"/>
  <c r="O267" i="27"/>
  <c r="Q266" i="27"/>
  <c r="O266" i="27"/>
  <c r="Q265" i="27"/>
  <c r="O265" i="27"/>
  <c r="Q264" i="27"/>
  <c r="O264" i="27"/>
  <c r="Q263" i="27"/>
  <c r="O263" i="27"/>
  <c r="Q262" i="27"/>
  <c r="O262" i="27"/>
  <c r="Q261" i="27"/>
  <c r="O261" i="27"/>
  <c r="Q260" i="27"/>
  <c r="O260" i="27"/>
  <c r="Q259" i="27"/>
  <c r="O259" i="27"/>
  <c r="Q258" i="27"/>
  <c r="O258" i="27"/>
  <c r="Q257" i="27"/>
  <c r="O257" i="27"/>
  <c r="Q256" i="27"/>
  <c r="O256" i="27"/>
  <c r="Q255" i="27"/>
  <c r="O255" i="27"/>
  <c r="Q254" i="27"/>
  <c r="O254" i="27"/>
  <c r="Q253" i="27"/>
  <c r="O253" i="27"/>
  <c r="Q252" i="27"/>
  <c r="O252" i="27"/>
  <c r="Q251" i="27"/>
  <c r="O251" i="27"/>
  <c r="Q250" i="27"/>
  <c r="O250" i="27"/>
  <c r="Q249" i="27"/>
  <c r="O249" i="27"/>
  <c r="Q248" i="27"/>
  <c r="O248" i="27"/>
  <c r="Q247" i="27"/>
  <c r="O247" i="27"/>
  <c r="Q246" i="27"/>
  <c r="O246" i="27"/>
  <c r="Q245" i="27"/>
  <c r="O245" i="27"/>
  <c r="Q244" i="27"/>
  <c r="O244" i="27"/>
  <c r="Q243" i="27"/>
  <c r="O243" i="27"/>
  <c r="Q242" i="27"/>
  <c r="O242" i="27"/>
  <c r="Q241" i="27"/>
  <c r="O241" i="27"/>
  <c r="Q240" i="27"/>
  <c r="O240" i="27"/>
  <c r="Q239" i="27"/>
  <c r="O239" i="27"/>
  <c r="Q238" i="27"/>
  <c r="O238" i="27"/>
  <c r="Q237" i="27"/>
  <c r="O237" i="27"/>
  <c r="Q236" i="27"/>
  <c r="O236" i="27"/>
  <c r="Q235" i="27"/>
  <c r="O235" i="27"/>
  <c r="Q234" i="27"/>
  <c r="O234" i="27"/>
  <c r="Q233" i="27"/>
  <c r="O233" i="27"/>
  <c r="Q232" i="27"/>
  <c r="O232" i="27"/>
  <c r="Q231" i="27"/>
  <c r="O231" i="27"/>
  <c r="Q230" i="27"/>
  <c r="O230" i="27"/>
  <c r="Q229" i="27"/>
  <c r="O229" i="27"/>
  <c r="Q228" i="27"/>
  <c r="O228" i="27"/>
  <c r="Q227" i="27"/>
  <c r="O227" i="27"/>
  <c r="Q226" i="27"/>
  <c r="O226" i="27"/>
  <c r="Q225" i="27"/>
  <c r="O225" i="27"/>
  <c r="Q224" i="27"/>
  <c r="O224" i="27"/>
  <c r="Q223" i="27"/>
  <c r="O223" i="27"/>
  <c r="Q222" i="27"/>
  <c r="O222" i="27"/>
  <c r="Q221" i="27"/>
  <c r="O221" i="27"/>
  <c r="Q220" i="27"/>
  <c r="O220" i="27"/>
  <c r="Q219" i="27"/>
  <c r="O219" i="27"/>
  <c r="Q218" i="27"/>
  <c r="O218" i="27"/>
  <c r="Q217" i="27"/>
  <c r="O217" i="27"/>
  <c r="Q216" i="27"/>
  <c r="O216" i="27"/>
  <c r="Q215" i="27"/>
  <c r="O215" i="27"/>
  <c r="Q214" i="27"/>
  <c r="O214" i="27"/>
  <c r="Q213" i="27"/>
  <c r="O213" i="27"/>
  <c r="Q212" i="27"/>
  <c r="O212" i="27"/>
  <c r="Q211" i="27"/>
  <c r="O211" i="27"/>
  <c r="Q210" i="27"/>
  <c r="O210" i="27"/>
  <c r="Q209" i="27"/>
  <c r="O209" i="27"/>
  <c r="Q208" i="27"/>
  <c r="O208" i="27"/>
  <c r="Q207" i="27"/>
  <c r="O207" i="27"/>
  <c r="Q206" i="27"/>
  <c r="O206" i="27"/>
  <c r="Q205" i="27"/>
  <c r="O205" i="27"/>
  <c r="Q204" i="27"/>
  <c r="O204" i="27"/>
  <c r="Q203" i="27"/>
  <c r="O203" i="27"/>
  <c r="Q202" i="27"/>
  <c r="O202" i="27"/>
  <c r="Q201" i="27"/>
  <c r="O201" i="27"/>
  <c r="Q200" i="27"/>
  <c r="O200" i="27"/>
  <c r="Q199" i="27"/>
  <c r="O199" i="27"/>
  <c r="Q198" i="27"/>
  <c r="O198" i="27"/>
  <c r="Q197" i="27"/>
  <c r="O197" i="27"/>
  <c r="Q196" i="27"/>
  <c r="O196" i="27"/>
  <c r="Q195" i="27"/>
  <c r="O195" i="27"/>
  <c r="Q194" i="27"/>
  <c r="O194" i="27"/>
  <c r="Q193" i="27"/>
  <c r="O193" i="27"/>
  <c r="Q192" i="27"/>
  <c r="O192" i="27"/>
  <c r="Q191" i="27"/>
  <c r="O191" i="27"/>
  <c r="Q190" i="27"/>
  <c r="O190" i="27"/>
  <c r="Q189" i="27"/>
  <c r="O189" i="27"/>
  <c r="Q188" i="27"/>
  <c r="O188" i="27"/>
  <c r="Q187" i="27"/>
  <c r="O187" i="27"/>
  <c r="Q186" i="27"/>
  <c r="O186" i="27"/>
  <c r="Q185" i="27"/>
  <c r="O185" i="27"/>
  <c r="Q184" i="27"/>
  <c r="O184" i="27"/>
  <c r="Q183" i="27"/>
  <c r="O183" i="27"/>
  <c r="Q182" i="27"/>
  <c r="O182" i="27"/>
  <c r="Q181" i="27"/>
  <c r="O181" i="27"/>
  <c r="Q180" i="27"/>
  <c r="O180" i="27"/>
  <c r="Q179" i="27"/>
  <c r="O179" i="27"/>
  <c r="Q178" i="27"/>
  <c r="O178" i="27"/>
  <c r="Q177" i="27"/>
  <c r="O177" i="27"/>
  <c r="Q176" i="27"/>
  <c r="O176" i="27"/>
  <c r="Q175" i="27"/>
  <c r="O175" i="27"/>
  <c r="Q174" i="27"/>
  <c r="O174" i="27"/>
  <c r="Q173" i="27"/>
  <c r="O173" i="27"/>
  <c r="Q172" i="27"/>
  <c r="O172" i="27"/>
  <c r="Q171" i="27"/>
  <c r="O171" i="27"/>
  <c r="Q170" i="27"/>
  <c r="O170" i="27"/>
  <c r="Q169" i="27"/>
  <c r="O169" i="27"/>
  <c r="Q168" i="27"/>
  <c r="O168" i="27"/>
  <c r="Q167" i="27"/>
  <c r="O167" i="27"/>
  <c r="Q166" i="27"/>
  <c r="O166" i="27"/>
  <c r="Q165" i="27"/>
  <c r="O165" i="27"/>
  <c r="Q164" i="27"/>
  <c r="O164" i="27"/>
  <c r="Q163" i="27"/>
  <c r="O163" i="27"/>
  <c r="Q162" i="27"/>
  <c r="O162" i="27"/>
  <c r="Q161" i="27"/>
  <c r="O161" i="27"/>
  <c r="Q160" i="27"/>
  <c r="O160" i="27"/>
  <c r="Q159" i="27"/>
  <c r="O159" i="27"/>
  <c r="Q158" i="27"/>
  <c r="O158" i="27"/>
  <c r="Q157" i="27"/>
  <c r="O157" i="27"/>
  <c r="Q156" i="27"/>
  <c r="O156" i="27"/>
  <c r="Q155" i="27"/>
  <c r="O155" i="27"/>
  <c r="Q154" i="27"/>
  <c r="O154" i="27"/>
  <c r="Q153" i="27"/>
  <c r="O153" i="27"/>
  <c r="Q152" i="27"/>
  <c r="O152" i="27"/>
  <c r="Q151" i="27"/>
  <c r="O151" i="27"/>
  <c r="Q150" i="27"/>
  <c r="O150" i="27"/>
  <c r="Q149" i="27"/>
  <c r="O149" i="27"/>
  <c r="Q148" i="27"/>
  <c r="O148" i="27"/>
  <c r="Q147" i="27"/>
  <c r="O147" i="27"/>
  <c r="Q146" i="27"/>
  <c r="O146" i="27"/>
  <c r="Q145" i="27"/>
  <c r="O145" i="27"/>
  <c r="Q144" i="27"/>
  <c r="O144" i="27"/>
  <c r="Q143" i="27"/>
  <c r="O143" i="27"/>
  <c r="Q142" i="27"/>
  <c r="O142" i="27"/>
  <c r="Q141" i="27"/>
  <c r="O141" i="27"/>
  <c r="Q140" i="27"/>
  <c r="O140" i="27"/>
  <c r="Q139" i="27"/>
  <c r="O139" i="27"/>
  <c r="Q138" i="27"/>
  <c r="O138" i="27"/>
  <c r="Q137" i="27"/>
  <c r="O137" i="27"/>
  <c r="Q136" i="27"/>
  <c r="O136" i="27"/>
  <c r="Q135" i="27"/>
  <c r="O135" i="27"/>
  <c r="Q134" i="27"/>
  <c r="O134" i="27"/>
  <c r="Q133" i="27"/>
  <c r="O133" i="27"/>
  <c r="Q132" i="27"/>
  <c r="O132" i="27"/>
  <c r="Q131" i="27"/>
  <c r="O131" i="27"/>
  <c r="Q130" i="27"/>
  <c r="O130" i="27"/>
  <c r="Q129" i="27"/>
  <c r="O129" i="27"/>
  <c r="Q128" i="27"/>
  <c r="O128" i="27"/>
  <c r="Q127" i="27"/>
  <c r="O127" i="27"/>
  <c r="Q126" i="27"/>
  <c r="O126" i="27"/>
  <c r="Q125" i="27"/>
  <c r="O125" i="27"/>
  <c r="Q124" i="27"/>
  <c r="O124" i="27"/>
  <c r="Q123" i="27"/>
  <c r="O123" i="27"/>
  <c r="Q122" i="27"/>
  <c r="O122" i="27"/>
  <c r="Q121" i="27"/>
  <c r="O121" i="27"/>
  <c r="Q120" i="27"/>
  <c r="O120" i="27"/>
  <c r="Q119" i="27"/>
  <c r="O119" i="27"/>
  <c r="Q118" i="27"/>
  <c r="O118" i="27"/>
  <c r="Q117" i="27"/>
  <c r="O117" i="27"/>
  <c r="Q116" i="27"/>
  <c r="O116" i="27"/>
  <c r="Q115" i="27"/>
  <c r="O115" i="27"/>
  <c r="Q114" i="27"/>
  <c r="O114" i="27"/>
  <c r="Q113" i="27"/>
  <c r="O113" i="27"/>
  <c r="Q112" i="27"/>
  <c r="O112" i="27"/>
  <c r="Q111" i="27"/>
  <c r="O111" i="27"/>
  <c r="Q110" i="27"/>
  <c r="O110" i="27"/>
  <c r="Q109" i="27"/>
  <c r="O109" i="27"/>
  <c r="Q108" i="27"/>
  <c r="O108" i="27"/>
  <c r="Q107" i="27"/>
  <c r="O107" i="27"/>
  <c r="Q106" i="27"/>
  <c r="O106" i="27"/>
  <c r="Q105" i="27"/>
  <c r="O105" i="27"/>
  <c r="Q104" i="27"/>
  <c r="O104" i="27"/>
  <c r="Q103" i="27"/>
  <c r="O103" i="27"/>
  <c r="Q102" i="27"/>
  <c r="O102" i="27"/>
  <c r="Q101" i="27"/>
  <c r="O101" i="27"/>
  <c r="Q100" i="27"/>
  <c r="O100" i="27"/>
  <c r="Q99" i="27"/>
  <c r="O99" i="27"/>
  <c r="Q98" i="27"/>
  <c r="O98" i="27"/>
  <c r="Q97" i="27"/>
  <c r="O97" i="27"/>
  <c r="Q96" i="27"/>
  <c r="O96" i="27"/>
  <c r="Q95" i="27"/>
  <c r="O95" i="27"/>
  <c r="Q94" i="27"/>
  <c r="O94" i="27"/>
  <c r="Q93" i="27"/>
  <c r="O93" i="27"/>
  <c r="Q92" i="27"/>
  <c r="O92" i="27"/>
  <c r="Q91" i="27"/>
  <c r="O91" i="27"/>
  <c r="Q90" i="27"/>
  <c r="O90" i="27"/>
  <c r="Q89" i="27"/>
  <c r="O89" i="27"/>
  <c r="Q88" i="27"/>
  <c r="O88" i="27"/>
  <c r="Q87" i="27"/>
  <c r="O87" i="27"/>
  <c r="Q86" i="27"/>
  <c r="O86" i="27"/>
  <c r="Q85" i="27"/>
  <c r="O85" i="27"/>
  <c r="Q84" i="27"/>
  <c r="O84" i="27"/>
  <c r="Q83" i="27"/>
  <c r="O83" i="27"/>
  <c r="Q82" i="27"/>
  <c r="O82" i="27"/>
  <c r="Q81" i="27"/>
  <c r="O81" i="27"/>
  <c r="Q80" i="27"/>
  <c r="O80" i="27"/>
  <c r="Q79" i="27"/>
  <c r="O79" i="27"/>
  <c r="Q78" i="27"/>
  <c r="O78" i="27"/>
  <c r="Q77" i="27"/>
  <c r="O77" i="27"/>
  <c r="Q76" i="27"/>
  <c r="O76" i="27"/>
  <c r="Q75" i="27"/>
  <c r="O75" i="27"/>
  <c r="Q74" i="27"/>
  <c r="O74" i="27"/>
  <c r="Q73" i="27"/>
  <c r="O73" i="27"/>
  <c r="Q72" i="27"/>
  <c r="O72" i="27"/>
  <c r="Q71" i="27"/>
  <c r="O71" i="27"/>
  <c r="Q70" i="27"/>
  <c r="O70" i="27"/>
  <c r="Q69" i="27"/>
  <c r="O69" i="27"/>
  <c r="Q68" i="27"/>
  <c r="O68" i="27"/>
  <c r="Q67" i="27"/>
  <c r="O67" i="27"/>
  <c r="Q66" i="27"/>
  <c r="O66" i="27"/>
  <c r="Q65" i="27"/>
  <c r="O65" i="27"/>
  <c r="Q64" i="27"/>
  <c r="O64" i="27"/>
  <c r="Q63" i="27"/>
  <c r="O63" i="27"/>
  <c r="Q62" i="27"/>
  <c r="O62" i="27"/>
  <c r="Q61" i="27"/>
  <c r="O61" i="27"/>
  <c r="Q60" i="27"/>
  <c r="O60" i="27"/>
  <c r="Q59" i="27"/>
  <c r="O59" i="27"/>
  <c r="Q58" i="27"/>
  <c r="O58" i="27"/>
  <c r="Q57" i="27"/>
  <c r="O57" i="27"/>
  <c r="Q56" i="27"/>
  <c r="O56" i="27"/>
  <c r="Q55" i="27"/>
  <c r="O55" i="27"/>
  <c r="Q54" i="27"/>
  <c r="O54" i="27"/>
  <c r="Q53" i="27"/>
  <c r="O53" i="27"/>
  <c r="Q52" i="27"/>
  <c r="O52" i="27"/>
  <c r="Q51" i="27"/>
  <c r="O51" i="27"/>
  <c r="Q50" i="27"/>
  <c r="O50" i="27"/>
  <c r="Q49" i="27"/>
  <c r="O49" i="27"/>
  <c r="Q48" i="27"/>
  <c r="O48" i="27"/>
  <c r="Q47" i="27"/>
  <c r="O47" i="27"/>
  <c r="Q46" i="27"/>
  <c r="O46" i="27"/>
  <c r="Q45" i="27"/>
  <c r="O45" i="27"/>
  <c r="Q44" i="27"/>
  <c r="O44" i="27"/>
  <c r="Q43" i="27"/>
  <c r="O43" i="27"/>
  <c r="Q42" i="27"/>
  <c r="O42" i="27"/>
  <c r="Q41" i="27"/>
  <c r="O41" i="27"/>
  <c r="Q40" i="27"/>
  <c r="O40" i="27"/>
  <c r="Q39" i="27"/>
  <c r="O39" i="27"/>
  <c r="Q38" i="27"/>
  <c r="O38" i="27"/>
  <c r="Q37" i="27"/>
  <c r="O37" i="27"/>
  <c r="Q36" i="27"/>
  <c r="O36" i="27"/>
  <c r="Q35" i="27"/>
  <c r="O35" i="27"/>
  <c r="Q34" i="27"/>
  <c r="O34" i="27"/>
  <c r="Q33" i="27"/>
  <c r="O33" i="27"/>
  <c r="Q32" i="27"/>
  <c r="O32" i="27"/>
  <c r="Q31" i="27"/>
  <c r="O31" i="27"/>
  <c r="Q30" i="27"/>
  <c r="O30" i="27"/>
  <c r="Q29" i="27"/>
  <c r="O29" i="27"/>
  <c r="Q28" i="27"/>
  <c r="O28" i="27"/>
  <c r="Q27" i="27"/>
  <c r="O27" i="27"/>
  <c r="Q26" i="27"/>
  <c r="O26" i="27"/>
  <c r="Q25" i="27"/>
  <c r="O25" i="27"/>
  <c r="Q24" i="27"/>
  <c r="O24" i="27"/>
  <c r="Q23" i="27"/>
  <c r="O23" i="27"/>
  <c r="Q22" i="27"/>
  <c r="O22" i="27"/>
  <c r="Q21" i="27"/>
  <c r="O21" i="27"/>
  <c r="Q20" i="27"/>
  <c r="O20" i="27"/>
  <c r="Q19" i="27"/>
  <c r="O19" i="27"/>
  <c r="Q18" i="27"/>
  <c r="O18" i="27"/>
  <c r="Q17" i="27"/>
  <c r="O17" i="27"/>
  <c r="Q16" i="27"/>
  <c r="O16" i="27"/>
  <c r="Q15" i="27"/>
  <c r="O15" i="27"/>
  <c r="Q14" i="27"/>
  <c r="O14" i="27"/>
  <c r="Q13" i="27"/>
  <c r="O13" i="27"/>
  <c r="Q12" i="27"/>
  <c r="O12" i="27"/>
  <c r="Q11" i="27"/>
  <c r="O11" i="27"/>
  <c r="Q10" i="27"/>
  <c r="O10" i="27"/>
  <c r="Q9" i="27"/>
  <c r="O9" i="27"/>
  <c r="Q8" i="27"/>
  <c r="O8" i="27"/>
  <c r="Q7" i="27"/>
  <c r="O7" i="27"/>
  <c r="Q6" i="27"/>
  <c r="O6" i="27"/>
  <c r="Q5" i="27"/>
  <c r="O5" i="27"/>
  <c r="Q4" i="27"/>
  <c r="O4" i="27"/>
  <c r="Q3" i="27"/>
  <c r="O3" i="27"/>
  <c r="Q2" i="27"/>
  <c r="O2" i="2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84C97E-7C9F-444C-8D67-9B92BAA2B885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  <connection id="2" xr16:uid="{839B934B-FDBE-40E3-884D-EE6CDC639E4D}" keepAlive="1" name="Query - Table7 (2)" description="Connection to the 'Table7 (2)' query in the workbook." type="5" refreshedVersion="8" background="1" saveData="1">
    <dbPr connection="Provider=Microsoft.Mashup.OleDb.1;Data Source=$Workbook$;Location=&quot;Table7 (2)&quot;;Extended Properties=&quot;&quot;" command="SELECT * FROM [Table7 (2)]"/>
  </connection>
</connections>
</file>

<file path=xl/sharedStrings.xml><?xml version="1.0" encoding="utf-8"?>
<sst xmlns="http://schemas.openxmlformats.org/spreadsheetml/2006/main" count="8255" uniqueCount="693">
  <si>
    <t xml:space="preserve"> Weeks</t>
  </si>
  <si>
    <t>Facebook</t>
  </si>
  <si>
    <t>Instagram</t>
  </si>
  <si>
    <t>Twitter</t>
  </si>
  <si>
    <t>YouTube</t>
  </si>
  <si>
    <t>03-06-2024 - 09-06-2024</t>
  </si>
  <si>
    <t>10-06-2024 - 16-06-2024</t>
  </si>
  <si>
    <t>17-06-2024 - 23-06-2024</t>
  </si>
  <si>
    <t>24-06-2024 - 30-06-2024</t>
  </si>
  <si>
    <t>01-07-2024 - 07-07-2024</t>
  </si>
  <si>
    <t>08-07-2024 - 14-07-2024</t>
  </si>
  <si>
    <t>15-07-2024 - 21-07-2024</t>
  </si>
  <si>
    <t>22-07-2024 - 28-07-2024</t>
  </si>
  <si>
    <t>29-07-2024 - 04-08-2024</t>
  </si>
  <si>
    <t>05-08-2024 - 11-08-2024</t>
  </si>
  <si>
    <t>12-08-2024 - 18-08-2024</t>
  </si>
  <si>
    <t>19-08-2024 - 25-08-2024</t>
  </si>
  <si>
    <t>26-08-2024 - 01-09-2024</t>
  </si>
  <si>
    <t>02-09-2024 - 08-09-2024</t>
  </si>
  <si>
    <t>09-09-2024 - 15-09-2024</t>
  </si>
  <si>
    <t>16-09-2024 - 22-09-2024</t>
  </si>
  <si>
    <t>23-09-2024 - 29-09-2024</t>
  </si>
  <si>
    <t>30-09-2024 - 06-10-2024</t>
  </si>
  <si>
    <t>07-10-2024 - 13-10-2024</t>
  </si>
  <si>
    <t>14-10-2024 - 20-10-2024</t>
  </si>
  <si>
    <t>21-10-2024 - 27-10-2024</t>
  </si>
  <si>
    <t>28-10-2024 - 03-11-2024</t>
  </si>
  <si>
    <t>04-11-2024 - 10-11-2024</t>
  </si>
  <si>
    <t>11-11-2024 - 17-11-2024</t>
  </si>
  <si>
    <t>18-11-2024 - 24-11-2024</t>
  </si>
  <si>
    <t>25-11-2024 - 01-12-2024</t>
  </si>
  <si>
    <t>02-12-2024 - 08-12-2024</t>
  </si>
  <si>
    <t>09-12-2024 - 15-12-2024</t>
  </si>
  <si>
    <t>16-12-2024 - 22-12-2024</t>
  </si>
  <si>
    <t>23-12-2024 - 29-12-2024</t>
  </si>
  <si>
    <t>30-12-2024 - 05-01-2025</t>
  </si>
  <si>
    <t>06-01-2025 - 12-01-2025</t>
  </si>
  <si>
    <t>13-01-2025 - 19-01-2025</t>
  </si>
  <si>
    <t>20-01-2025 - 26-01-2025</t>
  </si>
  <si>
    <t>27-01-2025 - 02-02-2025</t>
  </si>
  <si>
    <t>03-02-2025 - 09-02-2025</t>
  </si>
  <si>
    <t>10-02-2025 - 16-02-2025</t>
  </si>
  <si>
    <t>17-02-2025 - 23-02-2025</t>
  </si>
  <si>
    <t>24-02-2025 - 02-03-2025</t>
  </si>
  <si>
    <t>03-03-2025 - 09-03-2025</t>
  </si>
  <si>
    <t>10-03-2025 - 16-03-2025</t>
  </si>
  <si>
    <t>17-03-2025 - 23-03-2025</t>
  </si>
  <si>
    <t>24-03-2025 - 30-03-2025</t>
  </si>
  <si>
    <t>31-03-2025 - 06-04-2025</t>
  </si>
  <si>
    <t>07-04-2025 - 13-04-2025</t>
  </si>
  <si>
    <t>14-04-2025 - 20-04-2025</t>
  </si>
  <si>
    <t>21-04-2025 - 27-04-2025</t>
  </si>
  <si>
    <t>28-04-2025 - 04-05-2025</t>
  </si>
  <si>
    <t>05-05-2025 - 11-05-2025</t>
  </si>
  <si>
    <t>12-05-2025 - 13-05-2025</t>
  </si>
  <si>
    <t>weeks</t>
  </si>
  <si>
    <t>Sum of Net_Followers</t>
  </si>
  <si>
    <t>Week_Start_Date</t>
  </si>
  <si>
    <t>Net_Followers</t>
  </si>
  <si>
    <t>Row Labels</t>
  </si>
  <si>
    <t>Grand Total</t>
  </si>
  <si>
    <t>4_Week_Moving_Avg</t>
  </si>
  <si>
    <t>Ad_Spend</t>
  </si>
  <si>
    <t>Platform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</si>
  <si>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</si>
  <si>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</si>
  <si>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</si>
  <si>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</si>
  <si>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</si>
  <si>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</si>
  <si>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</si>
  <si>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</si>
  <si>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</si>
  <si>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</si>
  <si>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</si>
  <si>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</si>
  <si>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</si>
  <si>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P001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</si>
  <si>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</si>
  <si>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</si>
  <si>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</si>
  <si>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</si>
  <si>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</si>
  <si>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</si>
  <si>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</si>
  <si>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</si>
  <si>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</si>
  <si>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</si>
  <si>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</si>
  <si>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</si>
  <si>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2025-05-12</t>
  </si>
  <si>
    <t>#MyntraFashion,#MyntraSale</t>
  </si>
  <si>
    <t>P004</t>
  </si>
  <si>
    <t>2024-08-12</t>
  </si>
  <si>
    <t>Story</t>
  </si>
  <si>
    <t>Explore the latest story on Myntra! Trendy styles await.</t>
  </si>
  <si>
    <t>P005</t>
  </si>
  <si>
    <t>2024-06-26</t>
  </si>
  <si>
    <t>#StyleWithMyntra,#MyntraFashion</t>
  </si>
  <si>
    <t>MyntraFestiveEdit</t>
  </si>
  <si>
    <t>P006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</si>
  <si>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</si>
  <si>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</si>
  <si>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</si>
  <si>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</si>
  <si>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</si>
  <si>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</si>
  <si>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</si>
  <si>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</si>
  <si>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</si>
  <si>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</si>
  <si>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</si>
  <si>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</si>
  <si>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</si>
  <si>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</si>
  <si>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</si>
  <si>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</si>
  <si>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</si>
  <si>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</si>
  <si>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</si>
  <si>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</si>
  <si>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#StyleWithMyntra,#MyntraSale</t>
  </si>
  <si>
    <t>P013</t>
  </si>
  <si>
    <t>2024-11-18</t>
  </si>
  <si>
    <t>P014</t>
  </si>
  <si>
    <t>2025-02-16</t>
  </si>
  <si>
    <t>#MyntraSale,#MyntraFashion</t>
  </si>
  <si>
    <t>P015</t>
  </si>
  <si>
    <t>2024-10-24</t>
  </si>
  <si>
    <t>Video</t>
  </si>
  <si>
    <t>Explore the latest video on Myntra! Trendy styles await.</t>
  </si>
  <si>
    <t>#MyntraFashion,#FashionDeals</t>
  </si>
  <si>
    <t>P016</t>
  </si>
  <si>
    <t>2024-08-26</t>
  </si>
  <si>
    <t>#MyntraSale,#FashionDeals</t>
  </si>
  <si>
    <t>P017</t>
  </si>
  <si>
    <t>2025-05-05</t>
  </si>
  <si>
    <t>#FashionDeals</t>
  </si>
  <si>
    <t>P018</t>
  </si>
  <si>
    <t>2024-08-19</t>
  </si>
  <si>
    <t>P019</t>
  </si>
  <si>
    <t>2024-06-23</t>
  </si>
  <si>
    <t>#MyntraSale,#StyleWithMyntra</t>
  </si>
  <si>
    <t>P020</t>
  </si>
  <si>
    <t>2024-09-09</t>
  </si>
  <si>
    <t>P021</t>
  </si>
  <si>
    <t>2025-01-04</t>
  </si>
  <si>
    <t>#StyleWithMyntra,#MyntraTrend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</si>
  <si>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</si>
  <si>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</si>
  <si>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</si>
  <si>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</si>
  <si>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</si>
  <si>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</si>
  <si>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</si>
  <si>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</si>
  <si>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</si>
  <si>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</si>
  <si>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</si>
  <si>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</si>
  <si>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</si>
  <si>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</si>
  <si>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#MyntraSale,#MyntraTrend</t>
  </si>
  <si>
    <t>P029</t>
  </si>
  <si>
    <t>2025-01-31</t>
  </si>
  <si>
    <t>#MyntraTrend,#MyntraFashion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</si>
  <si>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</si>
  <si>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</si>
  <si>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</si>
  <si>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</si>
  <si>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</si>
  <si>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</si>
  <si>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</si>
  <si>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</si>
  <si>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</si>
  <si>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</si>
  <si>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#MyntraTrend,#FashionDeals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</si>
  <si>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</si>
  <si>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</si>
  <si>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</si>
  <si>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</si>
  <si>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</si>
  <si>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</si>
  <si>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</si>
  <si>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</si>
  <si>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</si>
  <si>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</si>
  <si>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#FashionDeals,#MyntraSale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</si>
  <si>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</si>
  <si>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</si>
  <si>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</si>
  <si>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</si>
  <si>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</si>
  <si>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</si>
  <si>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</si>
  <si>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</si>
  <si>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</si>
  <si>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</si>
  <si>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</si>
  <si>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</si>
  <si>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</si>
  <si>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</si>
  <si>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</si>
  <si>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</si>
  <si>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#FashionDeals,#MyntraFashion</t>
  </si>
  <si>
    <t>P048</t>
  </si>
  <si>
    <t>#MyntraFashion,#StyleWithMyntra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</si>
  <si>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</si>
  <si>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</si>
  <si>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</si>
  <si>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</si>
  <si>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</si>
  <si>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</si>
  <si>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</si>
  <si>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</si>
  <si>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</si>
  <si>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</si>
  <si>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</si>
  <si>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</si>
  <si>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</si>
  <si>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</si>
  <si>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</si>
  <si>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#StyleWithMyntra,#FashionDeals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</si>
  <si>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</si>
  <si>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</si>
  <si>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</si>
  <si>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</si>
  <si>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</si>
  <si>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</si>
  <si>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</si>
  <si>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</si>
  <si>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</si>
  <si>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</si>
  <si>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</si>
  <si>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</si>
  <si>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</si>
  <si>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</si>
  <si>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</si>
  <si>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#FashionDeals,#MyntraTrend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</si>
  <si>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</si>
  <si>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</si>
  <si>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</si>
  <si>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</si>
  <si>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</si>
  <si>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</si>
  <si>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</si>
  <si>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</si>
  <si>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</si>
  <si>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</si>
  <si>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</si>
  <si>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</si>
  <si>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</si>
  <si>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</si>
  <si>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</si>
  <si>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</si>
  <si>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</si>
  <si>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</si>
  <si>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</si>
  <si>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</si>
  <si>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</si>
  <si>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</si>
  <si>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</si>
  <si>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</si>
  <si>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</si>
  <si>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</si>
  <si>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</si>
  <si>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</si>
  <si>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</si>
  <si>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</si>
  <si>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#MyntraTrend,#MyntraSale</t>
  </si>
  <si>
    <t>P082</t>
  </si>
  <si>
    <t>2024-07-24</t>
  </si>
  <si>
    <t>P083</t>
  </si>
  <si>
    <t>2024-10-15</t>
  </si>
  <si>
    <t>#MyntraTrend,#StyleWithMyntra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</si>
  <si>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</si>
  <si>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</si>
  <si>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</si>
  <si>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</si>
  <si>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</si>
  <si>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</si>
  <si>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</si>
  <si>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</si>
  <si>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</si>
  <si>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</si>
  <si>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</si>
  <si>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</si>
  <si>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</si>
  <si>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</si>
  <si>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</si>
  <si>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</si>
  <si>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</si>
  <si>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</si>
  <si>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</si>
  <si>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</si>
  <si>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</si>
  <si>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</si>
  <si>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</si>
  <si>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</si>
  <si>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</si>
  <si>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</si>
  <si>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</si>
  <si>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</si>
  <si>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</si>
  <si>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</si>
  <si>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</si>
  <si>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</si>
  <si>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</si>
  <si>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</si>
  <si>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</si>
  <si>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</si>
  <si>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</si>
  <si>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</si>
  <si>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</si>
  <si>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</si>
  <si>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</si>
  <si>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</si>
  <si>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</si>
  <si>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</si>
  <si>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</si>
  <si>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</si>
  <si>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</si>
  <si>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</si>
  <si>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</si>
  <si>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#FashionDeals,#StyleWithMyntra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</si>
  <si>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</si>
  <si>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</si>
  <si>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</si>
  <si>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</si>
  <si>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</si>
  <si>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</si>
  <si>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</si>
  <si>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</si>
  <si>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</si>
  <si>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</si>
  <si>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</si>
  <si>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</si>
  <si>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</si>
  <si>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</si>
  <si>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</si>
  <si>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</si>
  <si>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</si>
  <si>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</si>
  <si>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</si>
  <si>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</si>
  <si>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#MyntraFashion,#MyntraTrend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</si>
  <si>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</si>
  <si>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</si>
  <si>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</si>
  <si>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</si>
  <si>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</si>
  <si>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</si>
  <si>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</si>
  <si>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</si>
  <si>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</si>
  <si>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</si>
  <si>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</si>
  <si>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</si>
  <si>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</si>
  <si>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</si>
  <si>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</si>
  <si>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</si>
  <si>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</si>
  <si>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</si>
  <si>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</si>
  <si>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</si>
  <si>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</si>
  <si>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</si>
  <si>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</si>
  <si>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</si>
  <si>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</si>
  <si>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</si>
  <si>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</si>
  <si>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</si>
  <si>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</si>
  <si>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</si>
  <si>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</si>
  <si>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</si>
  <si>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</si>
  <si>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</si>
  <si>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</si>
  <si>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</si>
  <si>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</si>
  <si>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</si>
  <si>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</si>
  <si>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</si>
  <si>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</si>
  <si>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</si>
  <si>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</si>
  <si>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</si>
  <si>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</si>
  <si>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</si>
  <si>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</si>
  <si>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</si>
  <si>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</si>
  <si>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</si>
  <si>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</si>
  <si>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</si>
  <si>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</si>
  <si>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</si>
  <si>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</si>
  <si>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</si>
  <si>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</si>
  <si>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</si>
  <si>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</si>
  <si>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</si>
  <si>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</si>
  <si>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</si>
  <si>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</si>
  <si>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</si>
  <si>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</si>
  <si>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</si>
  <si>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</si>
  <si>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</si>
  <si>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</si>
  <si>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</si>
  <si>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</si>
  <si>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</si>
  <si>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</si>
  <si>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</si>
  <si>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</si>
  <si>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</si>
  <si>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</si>
  <si>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</si>
  <si>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</si>
  <si>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</si>
  <si>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</si>
  <si>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</si>
  <si>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</si>
  <si>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</si>
  <si>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</si>
  <si>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</si>
  <si>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</si>
  <si>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</si>
  <si>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</si>
  <si>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</si>
  <si>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</si>
  <si>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</si>
  <si>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</si>
  <si>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</si>
  <si>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</si>
  <si>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</si>
  <si>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</si>
  <si>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</si>
  <si>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</si>
  <si>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</si>
  <si>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</si>
  <si>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</si>
  <si>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</si>
  <si>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</si>
  <si>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</si>
  <si>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</si>
  <si>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</si>
  <si>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</si>
  <si>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</si>
  <si>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</si>
  <si>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</si>
  <si>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</si>
  <si>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</si>
  <si>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</si>
  <si>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</si>
  <si>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</si>
  <si>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</si>
  <si>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</si>
  <si>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</si>
  <si>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</si>
  <si>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</si>
  <si>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</si>
  <si>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</si>
  <si>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</si>
  <si>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</si>
  <si>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</si>
  <si>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</si>
  <si>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</si>
  <si>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</si>
  <si>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</si>
  <si>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</si>
  <si>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</si>
  <si>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</si>
  <si>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</si>
  <si>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</si>
  <si>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</si>
  <si>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</si>
  <si>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</si>
  <si>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</si>
  <si>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</si>
  <si>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</si>
  <si>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</si>
  <si>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</si>
  <si>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</si>
  <si>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</si>
  <si>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</si>
  <si>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</si>
  <si>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</si>
  <si>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</si>
  <si>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</si>
  <si>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</si>
  <si>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</si>
  <si>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</si>
  <si>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</si>
  <si>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</si>
  <si>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</si>
  <si>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</si>
  <si>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</si>
  <si>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</si>
  <si>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</si>
  <si>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</si>
  <si>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</si>
  <si>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</si>
  <si>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</si>
  <si>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</si>
  <si>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</si>
  <si>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</si>
  <si>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</si>
  <si>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</si>
  <si>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</si>
  <si>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</si>
  <si>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</si>
  <si>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</si>
  <si>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</si>
  <si>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</si>
  <si>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</si>
  <si>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</si>
  <si>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</si>
  <si>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</si>
  <si>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</si>
  <si>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</si>
  <si>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</si>
  <si>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</si>
  <si>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</si>
  <si>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</si>
  <si>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</si>
  <si>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</si>
  <si>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</si>
  <si>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</si>
  <si>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</si>
  <si>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</si>
  <si>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</si>
  <si>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</si>
  <si>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</si>
  <si>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</si>
  <si>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</si>
  <si>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</si>
  <si>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</si>
  <si>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</si>
  <si>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</si>
  <si>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</si>
  <si>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</si>
  <si>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</si>
  <si>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</si>
  <si>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</si>
  <si>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</si>
  <si>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</si>
  <si>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</si>
  <si>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</si>
  <si>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</si>
  <si>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</si>
  <si>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</si>
  <si>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</si>
  <si>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</si>
  <si>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</si>
  <si>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</si>
  <si>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</si>
  <si>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</si>
  <si>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</si>
  <si>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</si>
  <si>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</si>
  <si>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</si>
  <si>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</si>
  <si>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</si>
  <si>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</si>
  <si>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</si>
  <si>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</si>
  <si>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</si>
  <si>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</si>
  <si>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</si>
  <si>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</si>
  <si>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</si>
  <si>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</si>
  <si>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</si>
  <si>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</si>
  <si>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</si>
  <si>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</si>
  <si>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</si>
  <si>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</si>
  <si>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</si>
  <si>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</si>
  <si>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</si>
  <si>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</si>
  <si>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</si>
  <si>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</si>
  <si>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</si>
  <si>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</si>
  <si>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</si>
  <si>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</si>
  <si>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</si>
  <si>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</si>
  <si>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</si>
  <si>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</si>
  <si>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</si>
  <si>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</si>
  <si>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</si>
  <si>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</si>
  <si>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</si>
  <si>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</si>
  <si>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</si>
  <si>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</si>
  <si>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</si>
  <si>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</si>
  <si>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</si>
  <si>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</si>
  <si>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</si>
  <si>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</si>
  <si>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</si>
  <si>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</si>
  <si>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</si>
  <si>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Platforms</t>
  </si>
  <si>
    <t>Total Engagement rate</t>
  </si>
  <si>
    <t>Total Ad Spend</t>
  </si>
  <si>
    <t>weekly follower growth per platform</t>
  </si>
  <si>
    <t>Total Likes, Shares, Comments by Content Type &amp; Platform</t>
  </si>
  <si>
    <t>Column Labels</t>
  </si>
  <si>
    <t>Total Sum of Likes</t>
  </si>
  <si>
    <t>Total Sum of Shares</t>
  </si>
  <si>
    <t>Total Sum of Comments</t>
  </si>
  <si>
    <t>Sum of Likes</t>
  </si>
  <si>
    <t>Sum of Shares</t>
  </si>
  <si>
    <t>Sum of Comments</t>
  </si>
  <si>
    <t>Hastags</t>
  </si>
  <si>
    <t>Average of Clicks</t>
  </si>
  <si>
    <t>Sum of Engagement Rate</t>
  </si>
  <si>
    <t xml:space="preserve"> Platforms</t>
  </si>
  <si>
    <t>Hashtags</t>
  </si>
  <si>
    <t>Count of Hashtags Used</t>
  </si>
  <si>
    <t>Average of Engagement Rate</t>
  </si>
  <si>
    <t xml:space="preserve">Count of Post </t>
  </si>
  <si>
    <t xml:space="preserve"> Campaign</t>
  </si>
  <si>
    <t>Sum of Impressions</t>
  </si>
  <si>
    <t>Average of Impressions2</t>
  </si>
  <si>
    <t>Sum of Clicks</t>
  </si>
  <si>
    <t>Average of Clicks2</t>
  </si>
  <si>
    <t>Average of Likes2</t>
  </si>
  <si>
    <t>Start_Date</t>
  </si>
  <si>
    <t>End_Date</t>
  </si>
  <si>
    <t>Target_Platforms</t>
  </si>
  <si>
    <t xml:space="preserve"> Avg_During</t>
  </si>
  <si>
    <t xml:space="preserve"> Avg_before</t>
  </si>
  <si>
    <t>Follower_Uplift</t>
  </si>
  <si>
    <t xml:space="preserve">ROI </t>
  </si>
  <si>
    <t>Verdict</t>
  </si>
  <si>
    <t>Instagram,Facebook</t>
  </si>
  <si>
    <t>best ROI</t>
  </si>
  <si>
    <t>Instagram,YouTube</t>
  </si>
  <si>
    <t>Very close second</t>
  </si>
  <si>
    <t>Facebook,Instagram</t>
  </si>
  <si>
    <t>inefficient</t>
  </si>
  <si>
    <t>Instagram,Twitter</t>
  </si>
  <si>
    <t xml:space="preserve"> best ROI</t>
  </si>
  <si>
    <t>Campaign</t>
  </si>
  <si>
    <t>Engagement during campaign</t>
  </si>
  <si>
    <t xml:space="preserve"> Engagement before campaign</t>
  </si>
  <si>
    <t>Engagement Uplift</t>
  </si>
  <si>
    <t>Hashtags Used 1</t>
  </si>
  <si>
    <t>Hashtags Used 2</t>
  </si>
  <si>
    <t>Engagement Rate%</t>
  </si>
  <si>
    <t>Engagement _Rate</t>
  </si>
  <si>
    <t>NULL</t>
  </si>
  <si>
    <t xml:space="preserve"> </t>
  </si>
  <si>
    <t>New_Followers</t>
  </si>
  <si>
    <t>Unfollows</t>
  </si>
  <si>
    <t>Total_Followers</t>
  </si>
  <si>
    <t>Engagement_Rate</t>
  </si>
  <si>
    <t>Follower Growth Rate</t>
  </si>
  <si>
    <t>Engagement</t>
  </si>
  <si>
    <t>Objective</t>
  </si>
  <si>
    <t>Total_Budget</t>
  </si>
  <si>
    <t>Seasonal Clearance Promotion</t>
  </si>
  <si>
    <t>Customer Engagement</t>
  </si>
  <si>
    <t>Festive Collection Launch</t>
  </si>
  <si>
    <t>Brand Awareness &amp; Growth</t>
  </si>
  <si>
    <t>Social Media Performance Analysis – Excel Report</t>
  </si>
  <si>
    <t>This Excel workbook presents an analysis of social media campaign</t>
  </si>
  <si>
    <t>performance across multiple platforms. The objective of this report</t>
  </si>
  <si>
    <t>is to evaluate engagement, follower growth, and ROI to support</t>
  </si>
  <si>
    <t>data-driven marketing decisions.</t>
  </si>
  <si>
    <t>Contents of this workbook:</t>
  </si>
  <si>
    <t>• Raw campaign data</t>
  </si>
  <si>
    <t>• Platform-wise performance analysis</t>
  </si>
  <si>
    <t>• Engagement and ROI comparison</t>
  </si>
  <si>
    <t>• Visual dashboards and insights</t>
  </si>
  <si>
    <t>Instructions:</t>
  </si>
  <si>
    <t>• Use filters and slicers to explore platform-specific data</t>
  </si>
  <si>
    <t>• Click hyperlinks to view supporting videos or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</si>
</sst>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family val="2"/>
      <scheme val="minor"/>
    </font>
    <font>
      <b/>
      <sz val="11"/>
      <color theme="5" tint="-0.249977111117893"/>
      <name val="Calibri"/>
      <family val="2"/>
    </font>
    <font>
      <sz val="11"/>
      <color rgb="FF9C0006"/>
      <name val="Calibri"/>
      <family val="2"/>
      <scheme val="minor"/>
    </font>
    <font>
      <sz val="16"/>
      <color theme="1"/>
      <name val="Calibri"/>
      <scheme val="minor"/>
    </font>
    <font>
      <sz val="12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3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0" borderId="0"/>
    <xf numFmtId="0" fontId="7" fillId="0" borderId="0"/>
    <xf numFmtId="9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1" fillId="12" borderId="0" applyNumberFormat="0" applyBorder="0" applyAlignment="0" applyProtection="0"/>
  </cellStyleXfs>
  <cellXfs count="92">
    <xf numFmtId="0" fontId="0" fillId="0" borderId="0" xfId="0"/>
    <xf numFmtId="0" fontId="3" fillId="4" borderId="1" xfId="0" applyFont="1" applyFill="1" applyBorder="1"/>
    <xf numFmtId="0" fontId="0" fillId="0" borderId="0" xfId="0" applyAlignment="1">
      <alignment horizontal="left"/>
    </xf>
    <xf numFmtId="0" fontId="4" fillId="5" borderId="2" xfId="0" applyFont="1" applyFill="1" applyBorder="1"/>
    <xf numFmtId="14" fontId="5" fillId="6" borderId="3" xfId="0" applyNumberFormat="1" applyFont="1" applyFill="1" applyBorder="1"/>
    <xf numFmtId="14" fontId="5" fillId="7" borderId="3" xfId="0" applyNumberFormat="1" applyFont="1" applyFill="1" applyBorder="1"/>
    <xf numFmtId="14" fontId="5" fillId="7" borderId="4" xfId="0" applyNumberFormat="1" applyFont="1" applyFill="1" applyBorder="1"/>
    <xf numFmtId="0" fontId="0" fillId="7" borderId="6" xfId="0" applyFill="1" applyBorder="1"/>
    <xf numFmtId="0" fontId="0" fillId="7" borderId="9" xfId="0" applyFill="1" applyBorder="1"/>
    <xf numFmtId="0" fontId="0" fillId="7" borderId="10" xfId="0" applyFill="1" applyBorder="1"/>
    <xf numFmtId="0" fontId="0" fillId="0" borderId="0" xfId="0" pivotButton="1"/>
    <xf numFmtId="0" fontId="1" fillId="3" borderId="2" xfId="2" applyBorder="1"/>
    <xf numFmtId="0" fontId="1" fillId="3" borderId="5" xfId="2" applyBorder="1"/>
    <xf numFmtId="0" fontId="1" fillId="0" borderId="0" xfId="3"/>
    <xf numFmtId="0" fontId="8" fillId="0" borderId="0" xfId="0" applyFont="1"/>
    <xf numFmtId="0" fontId="7" fillId="0" borderId="0" xfId="4"/>
    <xf numFmtId="0" fontId="9" fillId="0" borderId="0" xfId="4" applyFont="1" applyAlignment="1">
      <alignment horizontal="center"/>
    </xf>
    <xf numFmtId="0" fontId="7" fillId="0" borderId="0" xfId="4" applyAlignment="1">
      <alignment horizontal="left"/>
    </xf>
    <xf numFmtId="0" fontId="10" fillId="0" borderId="0" xfId="4" applyFont="1"/>
    <xf numFmtId="0" fontId="1" fillId="0" borderId="0" xfId="4" applyFont="1" applyAlignment="1">
      <alignment horizontal="left"/>
    </xf>
    <xf numFmtId="165" fontId="1" fillId="0" borderId="0" xfId="4" applyNumberFormat="1" applyFont="1"/>
    <xf numFmtId="0" fontId="10" fillId="0" borderId="0" xfId="4" applyFont="1" applyAlignment="1">
      <alignment horizontal="left"/>
    </xf>
    <xf numFmtId="165" fontId="10" fillId="0" borderId="0" xfId="4" applyNumberFormat="1" applyFont="1"/>
    <xf numFmtId="0" fontId="7" fillId="0" borderId="11" xfId="4" applyBorder="1"/>
    <xf numFmtId="0" fontId="7" fillId="0" borderId="12" xfId="4" applyBorder="1"/>
    <xf numFmtId="0" fontId="7" fillId="0" borderId="13" xfId="4" applyBorder="1"/>
    <xf numFmtId="0" fontId="7" fillId="0" borderId="14" xfId="4" applyBorder="1"/>
    <xf numFmtId="0" fontId="7" fillId="0" borderId="15" xfId="4" applyBorder="1"/>
    <xf numFmtId="0" fontId="7" fillId="0" borderId="16" xfId="4" applyBorder="1"/>
    <xf numFmtId="0" fontId="7" fillId="0" borderId="17" xfId="4" applyBorder="1"/>
    <xf numFmtId="0" fontId="7" fillId="0" borderId="18" xfId="4" applyBorder="1"/>
    <xf numFmtId="0" fontId="7" fillId="0" borderId="19" xfId="4" applyBorder="1"/>
    <xf numFmtId="0" fontId="11" fillId="0" borderId="0" xfId="4" applyFont="1"/>
    <xf numFmtId="0" fontId="11" fillId="0" borderId="0" xfId="4" applyFont="1" applyAlignment="1">
      <alignment horizontal="left"/>
    </xf>
    <xf numFmtId="165" fontId="7" fillId="0" borderId="0" xfId="4" applyNumberFormat="1"/>
    <xf numFmtId="0" fontId="4" fillId="9" borderId="23" xfId="4" applyFont="1" applyFill="1" applyBorder="1"/>
    <xf numFmtId="0" fontId="4" fillId="9" borderId="24" xfId="4" applyFont="1" applyFill="1" applyBorder="1"/>
    <xf numFmtId="0" fontId="4" fillId="9" borderId="25" xfId="4" applyFont="1" applyFill="1" applyBorder="1"/>
    <xf numFmtId="0" fontId="7" fillId="0" borderId="23" xfId="4" applyBorder="1"/>
    <xf numFmtId="0" fontId="7" fillId="0" borderId="24" xfId="4" applyBorder="1"/>
    <xf numFmtId="9" fontId="0" fillId="0" borderId="25" xfId="5" applyFont="1" applyBorder="1"/>
    <xf numFmtId="0" fontId="7" fillId="8" borderId="23" xfId="4" applyFill="1" applyBorder="1"/>
    <xf numFmtId="0" fontId="7" fillId="8" borderId="24" xfId="4" applyFill="1" applyBorder="1"/>
    <xf numFmtId="9" fontId="0" fillId="8" borderId="25" xfId="5" applyFont="1" applyFill="1" applyBorder="1"/>
    <xf numFmtId="0" fontId="1" fillId="0" borderId="0" xfId="4" applyFont="1"/>
    <xf numFmtId="0" fontId="5" fillId="0" borderId="26" xfId="4" applyFont="1" applyBorder="1" applyAlignment="1">
      <alignment wrapText="1"/>
    </xf>
    <xf numFmtId="14" fontId="5" fillId="0" borderId="26" xfId="4" applyNumberFormat="1" applyFont="1" applyBorder="1" applyAlignment="1">
      <alignment wrapText="1"/>
    </xf>
    <xf numFmtId="0" fontId="14" fillId="0" borderId="21" xfId="4" applyFont="1" applyBorder="1" applyAlignment="1">
      <alignment horizontal="center" vertical="top"/>
    </xf>
    <xf numFmtId="164" fontId="7" fillId="0" borderId="0" xfId="4" applyNumberFormat="1"/>
    <xf numFmtId="2" fontId="7" fillId="0" borderId="0" xfId="4" applyNumberFormat="1"/>
    <xf numFmtId="2" fontId="7" fillId="0" borderId="0" xfId="4" applyNumberFormat="1" applyAlignment="1">
      <alignment horizontal="left"/>
    </xf>
    <xf numFmtId="14" fontId="5" fillId="0" borderId="0" xfId="4" applyNumberFormat="1" applyFont="1"/>
    <xf numFmtId="0" fontId="0" fillId="0" borderId="0" xfId="5" applyNumberFormat="1" applyFont="1"/>
    <xf numFmtId="0" fontId="5" fillId="0" borderId="28" xfId="4" applyFont="1" applyBorder="1" applyAlignment="1">
      <alignment wrapText="1"/>
    </xf>
    <xf numFmtId="14" fontId="5" fillId="0" borderId="29" xfId="4" applyNumberFormat="1" applyFont="1" applyBorder="1" applyAlignment="1">
      <alignment wrapText="1"/>
    </xf>
    <xf numFmtId="0" fontId="5" fillId="0" borderId="29" xfId="4" applyFont="1" applyBorder="1" applyAlignment="1">
      <alignment wrapText="1"/>
    </xf>
    <xf numFmtId="0" fontId="5" fillId="0" borderId="29" xfId="4" applyFont="1" applyBorder="1" applyAlignment="1">
      <alignment horizontal="right" wrapText="1"/>
    </xf>
    <xf numFmtId="0" fontId="5" fillId="0" borderId="30" xfId="4" applyFont="1" applyBorder="1" applyAlignment="1">
      <alignment wrapText="1"/>
    </xf>
    <xf numFmtId="0" fontId="5" fillId="0" borderId="31" xfId="4" applyFont="1" applyBorder="1" applyAlignment="1">
      <alignment wrapText="1"/>
    </xf>
    <xf numFmtId="0" fontId="5" fillId="0" borderId="26" xfId="4" applyFont="1" applyBorder="1" applyAlignment="1">
      <alignment horizontal="right" wrapText="1"/>
    </xf>
    <xf numFmtId="0" fontId="5" fillId="0" borderId="27" xfId="4" applyFont="1" applyBorder="1" applyAlignment="1">
      <alignment wrapText="1"/>
    </xf>
    <xf numFmtId="0" fontId="12" fillId="0" borderId="32" xfId="4" applyFont="1" applyBorder="1" applyAlignment="1">
      <alignment wrapText="1"/>
    </xf>
    <xf numFmtId="14" fontId="12" fillId="0" borderId="33" xfId="4" applyNumberFormat="1" applyFont="1" applyBorder="1" applyAlignment="1">
      <alignment horizontal="right" wrapText="1"/>
    </xf>
    <xf numFmtId="0" fontId="12" fillId="0" borderId="33" xfId="4" applyFont="1" applyBorder="1" applyAlignment="1">
      <alignment wrapText="1"/>
    </xf>
    <xf numFmtId="0" fontId="12" fillId="0" borderId="33" xfId="4" applyFont="1" applyBorder="1" applyAlignment="1">
      <alignment horizontal="right" wrapText="1"/>
    </xf>
    <xf numFmtId="0" fontId="13" fillId="0" borderId="34" xfId="4" applyFont="1" applyBorder="1" applyAlignment="1">
      <alignment vertical="center"/>
    </xf>
    <xf numFmtId="1" fontId="7" fillId="0" borderId="0" xfId="4" applyNumberFormat="1"/>
    <xf numFmtId="14" fontId="7" fillId="0" borderId="0" xfId="4" applyNumberFormat="1"/>
    <xf numFmtId="0" fontId="6" fillId="0" borderId="20" xfId="4" applyFont="1" applyBorder="1" applyAlignment="1">
      <alignment horizontal="center" vertical="top"/>
    </xf>
    <xf numFmtId="0" fontId="6" fillId="0" borderId="21" xfId="4" applyFont="1" applyBorder="1" applyAlignment="1">
      <alignment horizontal="center" vertical="top"/>
    </xf>
    <xf numFmtId="0" fontId="6" fillId="0" borderId="22" xfId="4" applyFont="1" applyBorder="1" applyAlignment="1">
      <alignment horizontal="center" vertical="top"/>
    </xf>
    <xf numFmtId="0" fontId="2" fillId="2" borderId="0" xfId="1"/>
    <xf numFmtId="0" fontId="16" fillId="0" borderId="0" xfId="0" applyFont="1"/>
    <xf numFmtId="0" fontId="17" fillId="0" borderId="0" xfId="0" applyFont="1"/>
    <xf numFmtId="165" fontId="17" fillId="0" borderId="0" xfId="0" applyNumberFormat="1" applyFont="1"/>
    <xf numFmtId="0" fontId="10" fillId="0" borderId="0" xfId="0" pivotButton="1" applyFont="1"/>
    <xf numFmtId="0" fontId="10" fillId="0" borderId="0" xfId="0" applyFont="1"/>
    <xf numFmtId="0" fontId="11" fillId="0" borderId="0" xfId="0" applyFont="1" applyAlignment="1">
      <alignment horizontal="left"/>
    </xf>
    <xf numFmtId="165" fontId="11" fillId="0" borderId="0" xfId="0" applyNumberFormat="1" applyFont="1"/>
    <xf numFmtId="165" fontId="10" fillId="0" borderId="0" xfId="0" applyNumberFormat="1" applyFont="1"/>
    <xf numFmtId="0" fontId="10" fillId="0" borderId="0" xfId="0" applyFont="1" applyAlignment="1">
      <alignment horizontal="left"/>
    </xf>
    <xf numFmtId="0" fontId="15" fillId="10" borderId="0" xfId="4" applyFont="1" applyFill="1" applyAlignment="1">
      <alignment horizontal="left"/>
    </xf>
    <xf numFmtId="165" fontId="15" fillId="10" borderId="0" xfId="4" applyNumberFormat="1" applyFont="1" applyFill="1"/>
    <xf numFmtId="0" fontId="2" fillId="2" borderId="0" xfId="4" applyFont="1" applyFill="1" applyAlignment="1">
      <alignment horizontal="left"/>
    </xf>
    <xf numFmtId="0" fontId="2" fillId="2" borderId="0" xfId="4" applyFont="1" applyFill="1"/>
    <xf numFmtId="0" fontId="1" fillId="3" borderId="8" xfId="2" applyBorder="1"/>
    <xf numFmtId="0" fontId="0" fillId="7" borderId="7" xfId="0" applyFill="1" applyBorder="1"/>
    <xf numFmtId="0" fontId="18" fillId="0" borderId="0" xfId="6"/>
    <xf numFmtId="0" fontId="19" fillId="11" borderId="0" xfId="7"/>
    <xf numFmtId="0" fontId="1" fillId="12" borderId="21" xfId="8" applyBorder="1" applyAlignment="1">
      <alignment horizontal="center" vertical="top"/>
    </xf>
    <xf numFmtId="0" fontId="1" fillId="12" borderId="0" xfId="8"/>
    <xf numFmtId="9" fontId="1" fillId="12" borderId="0" xfId="8" applyNumberFormat="1"/>
  </cellXfs>
  <cellStyles count="9">
    <cellStyle name="40% - Accent2" xfId="2" builtinId="35"/>
    <cellStyle name="60% - Accent1" xfId="8" builtinId="32"/>
    <cellStyle name="Accent1" xfId="7" builtinId="29"/>
    <cellStyle name="Good" xfId="1" builtinId="26"/>
    <cellStyle name="Hyperlink" xfId="6" builtinId="8"/>
    <cellStyle name="Normal" xfId="0" builtinId="0"/>
    <cellStyle name="Normal 2" xfId="3" xr:uid="{1B938E07-9F5F-4DE8-999C-109C41786A63}"/>
    <cellStyle name="Normal 3" xfId="4" xr:uid="{EDCB16E3-2E34-4740-AB82-511A6BAA71B0}"/>
    <cellStyle name="Percent 2" xfId="5" xr:uid="{3102B216-3B1B-4AC9-9D34-88B66C3F0DF4}"/>
  </cellStyles>
  <dxfs count="10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6" tint="0.79998168889431442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bottom style="thin">
          <color theme="0"/>
        </bottom>
      </border>
    </dxf>
    <dxf>
      <border outline="0">
        <bottom style="thick">
          <color theme="0"/>
        </bottom>
      </border>
    </dxf>
    <dxf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fill>
        <patternFill patternType="solid">
          <fgColor theme="6" tint="0.79998168889431442"/>
          <bgColor theme="6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165" formatCode="0.0"/>
    </dxf>
    <dxf>
      <numFmt numFmtId="165" formatCode="0.0"/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65" formatCode="0.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6"/>
      </font>
    </dxf>
    <dxf>
      <font>
        <sz val="16"/>
      </font>
    </dxf>
    <dxf>
      <numFmt numFmtId="165" formatCode="0.0"/>
    </dxf>
    <dxf>
      <font>
        <sz val="16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6"/>
      </font>
    </dxf>
    <dxf>
      <numFmt numFmtId="165" formatCode="0.0"/>
    </dxf>
    <dxf>
      <font>
        <sz val="12"/>
      </font>
    </dxf>
    <dxf>
      <font>
        <sz val="12"/>
      </font>
    </dxf>
    <dxf>
      <font>
        <sz val="16"/>
      </font>
    </dxf>
    <dxf>
      <font>
        <sz val="1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z val="16"/>
      </font>
    </dxf>
    <dxf>
      <font>
        <sz val="16"/>
      </font>
    </dxf>
    <dxf>
      <font>
        <sz val="16"/>
      </font>
    </dxf>
    <dxf>
      <numFmt numFmtId="165" formatCode="0.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47416673377925E-2"/>
          <c:y val="8.5714080320206373E-2"/>
          <c:w val="0.98307275512032744"/>
          <c:h val="0.90007332568632803"/>
        </c:manualLayout>
      </c:layout>
      <c:lineChart>
        <c:grouping val="standard"/>
        <c:varyColors val="0"/>
        <c:ser>
          <c:idx val="3"/>
          <c:order val="3"/>
          <c:tx>
            <c:strRef>
              <c:f>' weekly follower growth per pla'!$E$1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weekly follower growth per pla'!$A$2:$A$51</c:f>
              <c:strCache>
                <c:ptCount val="50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12-05-2025 - 13-05-2025</c:v>
                </c:pt>
              </c:strCache>
            </c:strRef>
          </c:cat>
          <c:val>
            <c:numRef>
              <c:f>' weekly follower growth per pla'!$E$2:$E$51</c:f>
              <c:numCache>
                <c:formatCode>General</c:formatCode>
                <c:ptCount val="50"/>
                <c:pt idx="0">
                  <c:v>1090</c:v>
                </c:pt>
                <c:pt idx="1">
                  <c:v>994</c:v>
                </c:pt>
                <c:pt idx="2">
                  <c:v>337</c:v>
                </c:pt>
                <c:pt idx="3">
                  <c:v>-123</c:v>
                </c:pt>
                <c:pt idx="4">
                  <c:v>91</c:v>
                </c:pt>
                <c:pt idx="5">
                  <c:v>514</c:v>
                </c:pt>
                <c:pt idx="6">
                  <c:v>160</c:v>
                </c:pt>
                <c:pt idx="7">
                  <c:v>317</c:v>
                </c:pt>
                <c:pt idx="8">
                  <c:v>475</c:v>
                </c:pt>
                <c:pt idx="9">
                  <c:v>319</c:v>
                </c:pt>
                <c:pt idx="10">
                  <c:v>1032</c:v>
                </c:pt>
                <c:pt idx="11">
                  <c:v>190</c:v>
                </c:pt>
                <c:pt idx="12">
                  <c:v>28</c:v>
                </c:pt>
                <c:pt idx="13">
                  <c:v>333</c:v>
                </c:pt>
                <c:pt idx="14">
                  <c:v>1100</c:v>
                </c:pt>
                <c:pt idx="15">
                  <c:v>-32</c:v>
                </c:pt>
                <c:pt idx="16">
                  <c:v>1006</c:v>
                </c:pt>
                <c:pt idx="17">
                  <c:v>1706</c:v>
                </c:pt>
                <c:pt idx="18">
                  <c:v>118</c:v>
                </c:pt>
                <c:pt idx="19">
                  <c:v>367</c:v>
                </c:pt>
                <c:pt idx="20">
                  <c:v>1484</c:v>
                </c:pt>
                <c:pt idx="21">
                  <c:v>1657</c:v>
                </c:pt>
                <c:pt idx="22">
                  <c:v>1044</c:v>
                </c:pt>
                <c:pt idx="23">
                  <c:v>349</c:v>
                </c:pt>
                <c:pt idx="24">
                  <c:v>60</c:v>
                </c:pt>
                <c:pt idx="25">
                  <c:v>885</c:v>
                </c:pt>
                <c:pt idx="26">
                  <c:v>291</c:v>
                </c:pt>
                <c:pt idx="27">
                  <c:v>573</c:v>
                </c:pt>
                <c:pt idx="28">
                  <c:v>876</c:v>
                </c:pt>
                <c:pt idx="29">
                  <c:v>1589</c:v>
                </c:pt>
                <c:pt idx="30">
                  <c:v>1460</c:v>
                </c:pt>
                <c:pt idx="31">
                  <c:v>846</c:v>
                </c:pt>
                <c:pt idx="32">
                  <c:v>901</c:v>
                </c:pt>
                <c:pt idx="33">
                  <c:v>724</c:v>
                </c:pt>
                <c:pt idx="34">
                  <c:v>1225</c:v>
                </c:pt>
                <c:pt idx="35">
                  <c:v>-203</c:v>
                </c:pt>
                <c:pt idx="36">
                  <c:v>1444</c:v>
                </c:pt>
                <c:pt idx="37">
                  <c:v>1175</c:v>
                </c:pt>
                <c:pt idx="38">
                  <c:v>1016</c:v>
                </c:pt>
                <c:pt idx="39">
                  <c:v>315</c:v>
                </c:pt>
                <c:pt idx="40">
                  <c:v>1242</c:v>
                </c:pt>
                <c:pt idx="41">
                  <c:v>1385</c:v>
                </c:pt>
                <c:pt idx="42">
                  <c:v>389</c:v>
                </c:pt>
                <c:pt idx="43">
                  <c:v>1467</c:v>
                </c:pt>
                <c:pt idx="44">
                  <c:v>209</c:v>
                </c:pt>
                <c:pt idx="45">
                  <c:v>145</c:v>
                </c:pt>
                <c:pt idx="46">
                  <c:v>1633</c:v>
                </c:pt>
                <c:pt idx="47">
                  <c:v>637</c:v>
                </c:pt>
                <c:pt idx="48">
                  <c:v>864</c:v>
                </c:pt>
                <c:pt idx="4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73-402D-9719-3884E53BE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893535"/>
        <c:axId val="103089881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 weekly follower growth per pla'!$B$1</c15:sqref>
                        </c15:formulaRef>
                      </c:ext>
                    </c:extLst>
                    <c:strCache>
                      <c:ptCount val="1"/>
                      <c:pt idx="0">
                        <c:v>Facebook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dLbl>
                    <c:idx val="3"/>
                    <c:layout>
                      <c:manualLayout>
                        <c:x val="1.512439251846934E-8"/>
                        <c:y val="-1.3202434323089271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noAutofit/>
                      </a:bodyPr>
                      <a:lstStyle/>
                      <a:p>
                        <a:pPr>
                          <a:defRPr sz="2000" b="0" i="0" u="none" strike="noStrike" kern="1200" baseline="0">
                            <a:solidFill>
                              <a:schemeClr val="tx1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2.3531576306662687E-2"/>
                            <c:h val="6.0030504494415653E-2"/>
                          </c:manualLayout>
                        </c15:layout>
                      </c:ext>
                      <c:ext xmlns:c16="http://schemas.microsoft.com/office/drawing/2014/chart" uri="{C3380CC4-5D6E-409C-BE32-E72D297353CC}">
                        <c16:uniqueId val="{00000008-7F73-402D-9719-3884E53BE8DC}"/>
                      </c:ext>
                    </c:extLst>
                  </c:dLbl>
                  <c:dLbl>
                    <c:idx val="14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F73-402D-9719-3884E53BE8D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 weekly follower growth per pla'!$A$2:$A$51</c15:sqref>
                        </c15:formulaRef>
                      </c:ext>
                    </c:extLst>
                    <c:strCache>
                      <c:ptCount val="50"/>
                      <c:pt idx="0">
                        <c:v>03-06-2024 - 09-06-2024</c:v>
                      </c:pt>
                      <c:pt idx="1">
                        <c:v>10-06-2024 - 16-06-2024</c:v>
                      </c:pt>
                      <c:pt idx="2">
                        <c:v>17-06-2024 - 23-06-2024</c:v>
                      </c:pt>
                      <c:pt idx="3">
                        <c:v>24-06-2024 - 30-06-2024</c:v>
                      </c:pt>
                      <c:pt idx="4">
                        <c:v>01-07-2024 - 07-07-2024</c:v>
                      </c:pt>
                      <c:pt idx="5">
                        <c:v>08-07-2024 - 14-07-2024</c:v>
                      </c:pt>
                      <c:pt idx="6">
                        <c:v>15-07-2024 - 21-07-2024</c:v>
                      </c:pt>
                      <c:pt idx="7">
                        <c:v>22-07-2024 - 28-07-2024</c:v>
                      </c:pt>
                      <c:pt idx="8">
                        <c:v>29-07-2024 - 04-08-2024</c:v>
                      </c:pt>
                      <c:pt idx="9">
                        <c:v>05-08-2024 - 11-08-2024</c:v>
                      </c:pt>
                      <c:pt idx="10">
                        <c:v>12-08-2024 - 18-08-2024</c:v>
                      </c:pt>
                      <c:pt idx="11">
                        <c:v>19-08-2024 - 25-08-2024</c:v>
                      </c:pt>
                      <c:pt idx="12">
                        <c:v>26-08-2024 - 01-09-2024</c:v>
                      </c:pt>
                      <c:pt idx="13">
                        <c:v>02-09-2024 - 08-09-2024</c:v>
                      </c:pt>
                      <c:pt idx="14">
                        <c:v>09-09-2024 - 15-09-2024</c:v>
                      </c:pt>
                      <c:pt idx="15">
                        <c:v>16-09-2024 - 22-09-2024</c:v>
                      </c:pt>
                      <c:pt idx="16">
                        <c:v>23-09-2024 - 29-09-2024</c:v>
                      </c:pt>
                      <c:pt idx="17">
                        <c:v>30-09-2024 - 06-10-2024</c:v>
                      </c:pt>
                      <c:pt idx="18">
                        <c:v>07-10-2024 - 13-10-2024</c:v>
                      </c:pt>
                      <c:pt idx="19">
                        <c:v>14-10-2024 - 20-10-2024</c:v>
                      </c:pt>
                      <c:pt idx="20">
                        <c:v>21-10-2024 - 27-10-2024</c:v>
                      </c:pt>
                      <c:pt idx="21">
                        <c:v>28-10-2024 - 03-11-2024</c:v>
                      </c:pt>
                      <c:pt idx="22">
                        <c:v>04-11-2024 - 10-11-2024</c:v>
                      </c:pt>
                      <c:pt idx="23">
                        <c:v>11-11-2024 - 17-11-2024</c:v>
                      </c:pt>
                      <c:pt idx="24">
                        <c:v>18-11-2024 - 24-11-2024</c:v>
                      </c:pt>
                      <c:pt idx="25">
                        <c:v>25-11-2024 - 01-12-2024</c:v>
                      </c:pt>
                      <c:pt idx="26">
                        <c:v>02-12-2024 - 08-12-2024</c:v>
                      </c:pt>
                      <c:pt idx="27">
                        <c:v>09-12-2024 - 15-12-2024</c:v>
                      </c:pt>
                      <c:pt idx="28">
                        <c:v>16-12-2024 - 22-12-2024</c:v>
                      </c:pt>
                      <c:pt idx="29">
                        <c:v>23-12-2024 - 29-12-2024</c:v>
                      </c:pt>
                      <c:pt idx="30">
                        <c:v>30-12-2024 - 05-01-2025</c:v>
                      </c:pt>
                      <c:pt idx="31">
                        <c:v>06-01-2025 - 12-01-2025</c:v>
                      </c:pt>
                      <c:pt idx="32">
                        <c:v>13-01-2025 - 19-01-2025</c:v>
                      </c:pt>
                      <c:pt idx="33">
                        <c:v>20-01-2025 - 26-01-2025</c:v>
                      </c:pt>
                      <c:pt idx="34">
                        <c:v>27-01-2025 - 02-02-2025</c:v>
                      </c:pt>
                      <c:pt idx="35">
                        <c:v>03-02-2025 - 09-02-2025</c:v>
                      </c:pt>
                      <c:pt idx="36">
                        <c:v>10-02-2025 - 16-02-2025</c:v>
                      </c:pt>
                      <c:pt idx="37">
                        <c:v>17-02-2025 - 23-02-2025</c:v>
                      </c:pt>
                      <c:pt idx="38">
                        <c:v>24-02-2025 - 02-03-2025</c:v>
                      </c:pt>
                      <c:pt idx="39">
                        <c:v>03-03-2025 - 09-03-2025</c:v>
                      </c:pt>
                      <c:pt idx="40">
                        <c:v>10-03-2025 - 16-03-2025</c:v>
                      </c:pt>
                      <c:pt idx="41">
                        <c:v>17-03-2025 - 23-03-2025</c:v>
                      </c:pt>
                      <c:pt idx="42">
                        <c:v>24-03-2025 - 30-03-2025</c:v>
                      </c:pt>
                      <c:pt idx="43">
                        <c:v>31-03-2025 - 06-04-2025</c:v>
                      </c:pt>
                      <c:pt idx="44">
                        <c:v>07-04-2025 - 13-04-2025</c:v>
                      </c:pt>
                      <c:pt idx="45">
                        <c:v>14-04-2025 - 20-04-2025</c:v>
                      </c:pt>
                      <c:pt idx="46">
                        <c:v>21-04-2025 - 27-04-2025</c:v>
                      </c:pt>
                      <c:pt idx="47">
                        <c:v>28-04-2025 - 04-05-2025</c:v>
                      </c:pt>
                      <c:pt idx="48">
                        <c:v>05-05-2025 - 11-05-2025</c:v>
                      </c:pt>
                      <c:pt idx="49">
                        <c:v>12-05-2025 - 13-05-2025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 weekly follower growth per pla'!$B$2:$B$51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1002</c:v>
                      </c:pt>
                      <c:pt idx="1">
                        <c:v>1283</c:v>
                      </c:pt>
                      <c:pt idx="2">
                        <c:v>1382</c:v>
                      </c:pt>
                      <c:pt idx="3">
                        <c:v>1670</c:v>
                      </c:pt>
                      <c:pt idx="4">
                        <c:v>64</c:v>
                      </c:pt>
                      <c:pt idx="5">
                        <c:v>309</c:v>
                      </c:pt>
                      <c:pt idx="6">
                        <c:v>-164</c:v>
                      </c:pt>
                      <c:pt idx="7">
                        <c:v>961</c:v>
                      </c:pt>
                      <c:pt idx="8">
                        <c:v>-318</c:v>
                      </c:pt>
                      <c:pt idx="9">
                        <c:v>-197</c:v>
                      </c:pt>
                      <c:pt idx="10">
                        <c:v>1334</c:v>
                      </c:pt>
                      <c:pt idx="11">
                        <c:v>1058</c:v>
                      </c:pt>
                      <c:pt idx="12">
                        <c:v>37</c:v>
                      </c:pt>
                      <c:pt idx="13">
                        <c:v>1045</c:v>
                      </c:pt>
                      <c:pt idx="14">
                        <c:v>1428</c:v>
                      </c:pt>
                      <c:pt idx="15">
                        <c:v>98</c:v>
                      </c:pt>
                      <c:pt idx="16">
                        <c:v>-19</c:v>
                      </c:pt>
                      <c:pt idx="17">
                        <c:v>-179</c:v>
                      </c:pt>
                      <c:pt idx="18">
                        <c:v>1662</c:v>
                      </c:pt>
                      <c:pt idx="19">
                        <c:v>285</c:v>
                      </c:pt>
                      <c:pt idx="20">
                        <c:v>439</c:v>
                      </c:pt>
                      <c:pt idx="21">
                        <c:v>386</c:v>
                      </c:pt>
                      <c:pt idx="22">
                        <c:v>540</c:v>
                      </c:pt>
                      <c:pt idx="23">
                        <c:v>-106</c:v>
                      </c:pt>
                      <c:pt idx="24">
                        <c:v>72</c:v>
                      </c:pt>
                      <c:pt idx="25">
                        <c:v>1332</c:v>
                      </c:pt>
                      <c:pt idx="26">
                        <c:v>1706</c:v>
                      </c:pt>
                      <c:pt idx="27">
                        <c:v>1373</c:v>
                      </c:pt>
                      <c:pt idx="28">
                        <c:v>1377</c:v>
                      </c:pt>
                      <c:pt idx="29">
                        <c:v>730</c:v>
                      </c:pt>
                      <c:pt idx="30">
                        <c:v>1776</c:v>
                      </c:pt>
                      <c:pt idx="31">
                        <c:v>620</c:v>
                      </c:pt>
                      <c:pt idx="32">
                        <c:v>298</c:v>
                      </c:pt>
                      <c:pt idx="33">
                        <c:v>427</c:v>
                      </c:pt>
                      <c:pt idx="34">
                        <c:v>898</c:v>
                      </c:pt>
                      <c:pt idx="35">
                        <c:v>748</c:v>
                      </c:pt>
                      <c:pt idx="36">
                        <c:v>912</c:v>
                      </c:pt>
                      <c:pt idx="37">
                        <c:v>1590</c:v>
                      </c:pt>
                      <c:pt idx="38">
                        <c:v>1707</c:v>
                      </c:pt>
                      <c:pt idx="39">
                        <c:v>-119</c:v>
                      </c:pt>
                      <c:pt idx="40">
                        <c:v>908</c:v>
                      </c:pt>
                      <c:pt idx="41">
                        <c:v>1116</c:v>
                      </c:pt>
                      <c:pt idx="42">
                        <c:v>474</c:v>
                      </c:pt>
                      <c:pt idx="43">
                        <c:v>514</c:v>
                      </c:pt>
                      <c:pt idx="44">
                        <c:v>1029</c:v>
                      </c:pt>
                      <c:pt idx="45">
                        <c:v>-175</c:v>
                      </c:pt>
                      <c:pt idx="46">
                        <c:v>1045</c:v>
                      </c:pt>
                      <c:pt idx="47">
                        <c:v>453</c:v>
                      </c:pt>
                      <c:pt idx="48">
                        <c:v>339</c:v>
                      </c:pt>
                      <c:pt idx="49">
                        <c:v>407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F73-402D-9719-3884E53BE8DC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 weekly follower growth per pla'!$C$1</c15:sqref>
                        </c15:formulaRef>
                      </c:ext>
                    </c:extLst>
                    <c:strCache>
                      <c:ptCount val="1"/>
                      <c:pt idx="0">
                        <c:v>Instagram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 weekly follower growth per pla'!$A$2:$A$51</c15:sqref>
                        </c15:formulaRef>
                      </c:ext>
                    </c:extLst>
                    <c:strCache>
                      <c:ptCount val="50"/>
                      <c:pt idx="0">
                        <c:v>03-06-2024 - 09-06-2024</c:v>
                      </c:pt>
                      <c:pt idx="1">
                        <c:v>10-06-2024 - 16-06-2024</c:v>
                      </c:pt>
                      <c:pt idx="2">
                        <c:v>17-06-2024 - 23-06-2024</c:v>
                      </c:pt>
                      <c:pt idx="3">
                        <c:v>24-06-2024 - 30-06-2024</c:v>
                      </c:pt>
                      <c:pt idx="4">
                        <c:v>01-07-2024 - 07-07-2024</c:v>
                      </c:pt>
                      <c:pt idx="5">
                        <c:v>08-07-2024 - 14-07-2024</c:v>
                      </c:pt>
                      <c:pt idx="6">
                        <c:v>15-07-2024 - 21-07-2024</c:v>
                      </c:pt>
                      <c:pt idx="7">
                        <c:v>22-07-2024 - 28-07-2024</c:v>
                      </c:pt>
                      <c:pt idx="8">
                        <c:v>29-07-2024 - 04-08-2024</c:v>
                      </c:pt>
                      <c:pt idx="9">
                        <c:v>05-08-2024 - 11-08-2024</c:v>
                      </c:pt>
                      <c:pt idx="10">
                        <c:v>12-08-2024 - 18-08-2024</c:v>
                      </c:pt>
                      <c:pt idx="11">
                        <c:v>19-08-2024 - 25-08-2024</c:v>
                      </c:pt>
                      <c:pt idx="12">
                        <c:v>26-08-2024 - 01-09-2024</c:v>
                      </c:pt>
                      <c:pt idx="13">
                        <c:v>02-09-2024 - 08-09-2024</c:v>
                      </c:pt>
                      <c:pt idx="14">
                        <c:v>09-09-2024 - 15-09-2024</c:v>
                      </c:pt>
                      <c:pt idx="15">
                        <c:v>16-09-2024 - 22-09-2024</c:v>
                      </c:pt>
                      <c:pt idx="16">
                        <c:v>23-09-2024 - 29-09-2024</c:v>
                      </c:pt>
                      <c:pt idx="17">
                        <c:v>30-09-2024 - 06-10-2024</c:v>
                      </c:pt>
                      <c:pt idx="18">
                        <c:v>07-10-2024 - 13-10-2024</c:v>
                      </c:pt>
                      <c:pt idx="19">
                        <c:v>14-10-2024 - 20-10-2024</c:v>
                      </c:pt>
                      <c:pt idx="20">
                        <c:v>21-10-2024 - 27-10-2024</c:v>
                      </c:pt>
                      <c:pt idx="21">
                        <c:v>28-10-2024 - 03-11-2024</c:v>
                      </c:pt>
                      <c:pt idx="22">
                        <c:v>04-11-2024 - 10-11-2024</c:v>
                      </c:pt>
                      <c:pt idx="23">
                        <c:v>11-11-2024 - 17-11-2024</c:v>
                      </c:pt>
                      <c:pt idx="24">
                        <c:v>18-11-2024 - 24-11-2024</c:v>
                      </c:pt>
                      <c:pt idx="25">
                        <c:v>25-11-2024 - 01-12-2024</c:v>
                      </c:pt>
                      <c:pt idx="26">
                        <c:v>02-12-2024 - 08-12-2024</c:v>
                      </c:pt>
                      <c:pt idx="27">
                        <c:v>09-12-2024 - 15-12-2024</c:v>
                      </c:pt>
                      <c:pt idx="28">
                        <c:v>16-12-2024 - 22-12-2024</c:v>
                      </c:pt>
                      <c:pt idx="29">
                        <c:v>23-12-2024 - 29-12-2024</c:v>
                      </c:pt>
                      <c:pt idx="30">
                        <c:v>30-12-2024 - 05-01-2025</c:v>
                      </c:pt>
                      <c:pt idx="31">
                        <c:v>06-01-2025 - 12-01-2025</c:v>
                      </c:pt>
                      <c:pt idx="32">
                        <c:v>13-01-2025 - 19-01-2025</c:v>
                      </c:pt>
                      <c:pt idx="33">
                        <c:v>20-01-2025 - 26-01-2025</c:v>
                      </c:pt>
                      <c:pt idx="34">
                        <c:v>27-01-2025 - 02-02-2025</c:v>
                      </c:pt>
                      <c:pt idx="35">
                        <c:v>03-02-2025 - 09-02-2025</c:v>
                      </c:pt>
                      <c:pt idx="36">
                        <c:v>10-02-2025 - 16-02-2025</c:v>
                      </c:pt>
                      <c:pt idx="37">
                        <c:v>17-02-2025 - 23-02-2025</c:v>
                      </c:pt>
                      <c:pt idx="38">
                        <c:v>24-02-2025 - 02-03-2025</c:v>
                      </c:pt>
                      <c:pt idx="39">
                        <c:v>03-03-2025 - 09-03-2025</c:v>
                      </c:pt>
                      <c:pt idx="40">
                        <c:v>10-03-2025 - 16-03-2025</c:v>
                      </c:pt>
                      <c:pt idx="41">
                        <c:v>17-03-2025 - 23-03-2025</c:v>
                      </c:pt>
                      <c:pt idx="42">
                        <c:v>24-03-2025 - 30-03-2025</c:v>
                      </c:pt>
                      <c:pt idx="43">
                        <c:v>31-03-2025 - 06-04-2025</c:v>
                      </c:pt>
                      <c:pt idx="44">
                        <c:v>07-04-2025 - 13-04-2025</c:v>
                      </c:pt>
                      <c:pt idx="45">
                        <c:v>14-04-2025 - 20-04-2025</c:v>
                      </c:pt>
                      <c:pt idx="46">
                        <c:v>21-04-2025 - 27-04-2025</c:v>
                      </c:pt>
                      <c:pt idx="47">
                        <c:v>28-04-2025 - 04-05-2025</c:v>
                      </c:pt>
                      <c:pt idx="48">
                        <c:v>05-05-2025 - 11-05-2025</c:v>
                      </c:pt>
                      <c:pt idx="49">
                        <c:v>12-05-2025 - 13-05-2025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 weekly follower growth per pla'!$C$2:$C$51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1047</c:v>
                      </c:pt>
                      <c:pt idx="1">
                        <c:v>517</c:v>
                      </c:pt>
                      <c:pt idx="2">
                        <c:v>893</c:v>
                      </c:pt>
                      <c:pt idx="3">
                        <c:v>629</c:v>
                      </c:pt>
                      <c:pt idx="4">
                        <c:v>-219</c:v>
                      </c:pt>
                      <c:pt idx="5">
                        <c:v>1672</c:v>
                      </c:pt>
                      <c:pt idx="6">
                        <c:v>1845</c:v>
                      </c:pt>
                      <c:pt idx="7">
                        <c:v>159</c:v>
                      </c:pt>
                      <c:pt idx="8">
                        <c:v>541</c:v>
                      </c:pt>
                      <c:pt idx="9">
                        <c:v>352</c:v>
                      </c:pt>
                      <c:pt idx="10">
                        <c:v>1325</c:v>
                      </c:pt>
                      <c:pt idx="11">
                        <c:v>76</c:v>
                      </c:pt>
                      <c:pt idx="12">
                        <c:v>1609</c:v>
                      </c:pt>
                      <c:pt idx="13">
                        <c:v>1247</c:v>
                      </c:pt>
                      <c:pt idx="14">
                        <c:v>1572</c:v>
                      </c:pt>
                      <c:pt idx="15">
                        <c:v>377</c:v>
                      </c:pt>
                      <c:pt idx="16">
                        <c:v>666</c:v>
                      </c:pt>
                      <c:pt idx="17">
                        <c:v>1025</c:v>
                      </c:pt>
                      <c:pt idx="18">
                        <c:v>1872</c:v>
                      </c:pt>
                      <c:pt idx="19">
                        <c:v>1224</c:v>
                      </c:pt>
                      <c:pt idx="20">
                        <c:v>262</c:v>
                      </c:pt>
                      <c:pt idx="21">
                        <c:v>576</c:v>
                      </c:pt>
                      <c:pt idx="22">
                        <c:v>1397</c:v>
                      </c:pt>
                      <c:pt idx="23">
                        <c:v>902</c:v>
                      </c:pt>
                      <c:pt idx="24">
                        <c:v>-49</c:v>
                      </c:pt>
                      <c:pt idx="25">
                        <c:v>1693</c:v>
                      </c:pt>
                      <c:pt idx="26">
                        <c:v>1625</c:v>
                      </c:pt>
                      <c:pt idx="27">
                        <c:v>1119</c:v>
                      </c:pt>
                      <c:pt idx="28">
                        <c:v>1432</c:v>
                      </c:pt>
                      <c:pt idx="29">
                        <c:v>684</c:v>
                      </c:pt>
                      <c:pt idx="30">
                        <c:v>1765</c:v>
                      </c:pt>
                      <c:pt idx="31">
                        <c:v>903</c:v>
                      </c:pt>
                      <c:pt idx="32">
                        <c:v>1722</c:v>
                      </c:pt>
                      <c:pt idx="33">
                        <c:v>1572</c:v>
                      </c:pt>
                      <c:pt idx="34">
                        <c:v>-166</c:v>
                      </c:pt>
                      <c:pt idx="35">
                        <c:v>1080</c:v>
                      </c:pt>
                      <c:pt idx="36">
                        <c:v>1723</c:v>
                      </c:pt>
                      <c:pt idx="37">
                        <c:v>965</c:v>
                      </c:pt>
                      <c:pt idx="38">
                        <c:v>1375</c:v>
                      </c:pt>
                      <c:pt idx="39">
                        <c:v>1315</c:v>
                      </c:pt>
                      <c:pt idx="40">
                        <c:v>212</c:v>
                      </c:pt>
                      <c:pt idx="41">
                        <c:v>680</c:v>
                      </c:pt>
                      <c:pt idx="42">
                        <c:v>461</c:v>
                      </c:pt>
                      <c:pt idx="43">
                        <c:v>641</c:v>
                      </c:pt>
                      <c:pt idx="44">
                        <c:v>167</c:v>
                      </c:pt>
                      <c:pt idx="45">
                        <c:v>-160</c:v>
                      </c:pt>
                      <c:pt idx="46">
                        <c:v>603</c:v>
                      </c:pt>
                      <c:pt idx="47">
                        <c:v>1539</c:v>
                      </c:pt>
                      <c:pt idx="48">
                        <c:v>1881</c:v>
                      </c:pt>
                      <c:pt idx="49">
                        <c:v>1656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F73-402D-9719-3884E53BE8D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 weekly follower growth per pla'!$D$1</c15:sqref>
                        </c15:formulaRef>
                      </c:ext>
                    </c:extLst>
                    <c:strCache>
                      <c:ptCount val="1"/>
                      <c:pt idx="0">
                        <c:v>Twitter</c:v>
                      </c:pt>
                    </c:strCache>
                  </c:strRef>
                </c:tx>
                <c:spPr>
                  <a:ln w="349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 weekly follower growth per pla'!$A$2:$A$51</c15:sqref>
                        </c15:formulaRef>
                      </c:ext>
                    </c:extLst>
                    <c:strCache>
                      <c:ptCount val="50"/>
                      <c:pt idx="0">
                        <c:v>03-06-2024 - 09-06-2024</c:v>
                      </c:pt>
                      <c:pt idx="1">
                        <c:v>10-06-2024 - 16-06-2024</c:v>
                      </c:pt>
                      <c:pt idx="2">
                        <c:v>17-06-2024 - 23-06-2024</c:v>
                      </c:pt>
                      <c:pt idx="3">
                        <c:v>24-06-2024 - 30-06-2024</c:v>
                      </c:pt>
                      <c:pt idx="4">
                        <c:v>01-07-2024 - 07-07-2024</c:v>
                      </c:pt>
                      <c:pt idx="5">
                        <c:v>08-07-2024 - 14-07-2024</c:v>
                      </c:pt>
                      <c:pt idx="6">
                        <c:v>15-07-2024 - 21-07-2024</c:v>
                      </c:pt>
                      <c:pt idx="7">
                        <c:v>22-07-2024 - 28-07-2024</c:v>
                      </c:pt>
                      <c:pt idx="8">
                        <c:v>29-07-2024 - 04-08-2024</c:v>
                      </c:pt>
                      <c:pt idx="9">
                        <c:v>05-08-2024 - 11-08-2024</c:v>
                      </c:pt>
                      <c:pt idx="10">
                        <c:v>12-08-2024 - 18-08-2024</c:v>
                      </c:pt>
                      <c:pt idx="11">
                        <c:v>19-08-2024 - 25-08-2024</c:v>
                      </c:pt>
                      <c:pt idx="12">
                        <c:v>26-08-2024 - 01-09-2024</c:v>
                      </c:pt>
                      <c:pt idx="13">
                        <c:v>02-09-2024 - 08-09-2024</c:v>
                      </c:pt>
                      <c:pt idx="14">
                        <c:v>09-09-2024 - 15-09-2024</c:v>
                      </c:pt>
                      <c:pt idx="15">
                        <c:v>16-09-2024 - 22-09-2024</c:v>
                      </c:pt>
                      <c:pt idx="16">
                        <c:v>23-09-2024 - 29-09-2024</c:v>
                      </c:pt>
                      <c:pt idx="17">
                        <c:v>30-09-2024 - 06-10-2024</c:v>
                      </c:pt>
                      <c:pt idx="18">
                        <c:v>07-10-2024 - 13-10-2024</c:v>
                      </c:pt>
                      <c:pt idx="19">
                        <c:v>14-10-2024 - 20-10-2024</c:v>
                      </c:pt>
                      <c:pt idx="20">
                        <c:v>21-10-2024 - 27-10-2024</c:v>
                      </c:pt>
                      <c:pt idx="21">
                        <c:v>28-10-2024 - 03-11-2024</c:v>
                      </c:pt>
                      <c:pt idx="22">
                        <c:v>04-11-2024 - 10-11-2024</c:v>
                      </c:pt>
                      <c:pt idx="23">
                        <c:v>11-11-2024 - 17-11-2024</c:v>
                      </c:pt>
                      <c:pt idx="24">
                        <c:v>18-11-2024 - 24-11-2024</c:v>
                      </c:pt>
                      <c:pt idx="25">
                        <c:v>25-11-2024 - 01-12-2024</c:v>
                      </c:pt>
                      <c:pt idx="26">
                        <c:v>02-12-2024 - 08-12-2024</c:v>
                      </c:pt>
                      <c:pt idx="27">
                        <c:v>09-12-2024 - 15-12-2024</c:v>
                      </c:pt>
                      <c:pt idx="28">
                        <c:v>16-12-2024 - 22-12-2024</c:v>
                      </c:pt>
                      <c:pt idx="29">
                        <c:v>23-12-2024 - 29-12-2024</c:v>
                      </c:pt>
                      <c:pt idx="30">
                        <c:v>30-12-2024 - 05-01-2025</c:v>
                      </c:pt>
                      <c:pt idx="31">
                        <c:v>06-01-2025 - 12-01-2025</c:v>
                      </c:pt>
                      <c:pt idx="32">
                        <c:v>13-01-2025 - 19-01-2025</c:v>
                      </c:pt>
                      <c:pt idx="33">
                        <c:v>20-01-2025 - 26-01-2025</c:v>
                      </c:pt>
                      <c:pt idx="34">
                        <c:v>27-01-2025 - 02-02-2025</c:v>
                      </c:pt>
                      <c:pt idx="35">
                        <c:v>03-02-2025 - 09-02-2025</c:v>
                      </c:pt>
                      <c:pt idx="36">
                        <c:v>10-02-2025 - 16-02-2025</c:v>
                      </c:pt>
                      <c:pt idx="37">
                        <c:v>17-02-2025 - 23-02-2025</c:v>
                      </c:pt>
                      <c:pt idx="38">
                        <c:v>24-02-2025 - 02-03-2025</c:v>
                      </c:pt>
                      <c:pt idx="39">
                        <c:v>03-03-2025 - 09-03-2025</c:v>
                      </c:pt>
                      <c:pt idx="40">
                        <c:v>10-03-2025 - 16-03-2025</c:v>
                      </c:pt>
                      <c:pt idx="41">
                        <c:v>17-03-2025 - 23-03-2025</c:v>
                      </c:pt>
                      <c:pt idx="42">
                        <c:v>24-03-2025 - 30-03-2025</c:v>
                      </c:pt>
                      <c:pt idx="43">
                        <c:v>31-03-2025 - 06-04-2025</c:v>
                      </c:pt>
                      <c:pt idx="44">
                        <c:v>07-04-2025 - 13-04-2025</c:v>
                      </c:pt>
                      <c:pt idx="45">
                        <c:v>14-04-2025 - 20-04-2025</c:v>
                      </c:pt>
                      <c:pt idx="46">
                        <c:v>21-04-2025 - 27-04-2025</c:v>
                      </c:pt>
                      <c:pt idx="47">
                        <c:v>28-04-2025 - 04-05-2025</c:v>
                      </c:pt>
                      <c:pt idx="48">
                        <c:v>05-05-2025 - 11-05-2025</c:v>
                      </c:pt>
                      <c:pt idx="49">
                        <c:v>12-05-2025 - 13-05-2025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 weekly follower growth per pla'!$D$2:$D$51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415</c:v>
                      </c:pt>
                      <c:pt idx="1">
                        <c:v>186</c:v>
                      </c:pt>
                      <c:pt idx="2">
                        <c:v>1295</c:v>
                      </c:pt>
                      <c:pt idx="3">
                        <c:v>835</c:v>
                      </c:pt>
                      <c:pt idx="4">
                        <c:v>1357</c:v>
                      </c:pt>
                      <c:pt idx="5">
                        <c:v>547</c:v>
                      </c:pt>
                      <c:pt idx="6">
                        <c:v>429</c:v>
                      </c:pt>
                      <c:pt idx="7">
                        <c:v>1316</c:v>
                      </c:pt>
                      <c:pt idx="8">
                        <c:v>1495</c:v>
                      </c:pt>
                      <c:pt idx="9">
                        <c:v>328</c:v>
                      </c:pt>
                      <c:pt idx="10">
                        <c:v>37</c:v>
                      </c:pt>
                      <c:pt idx="11">
                        <c:v>1665</c:v>
                      </c:pt>
                      <c:pt idx="12">
                        <c:v>1229</c:v>
                      </c:pt>
                      <c:pt idx="13">
                        <c:v>197</c:v>
                      </c:pt>
                      <c:pt idx="14">
                        <c:v>260</c:v>
                      </c:pt>
                      <c:pt idx="15">
                        <c:v>1125</c:v>
                      </c:pt>
                      <c:pt idx="16">
                        <c:v>1680</c:v>
                      </c:pt>
                      <c:pt idx="17">
                        <c:v>599</c:v>
                      </c:pt>
                      <c:pt idx="18">
                        <c:v>107</c:v>
                      </c:pt>
                      <c:pt idx="19">
                        <c:v>-20</c:v>
                      </c:pt>
                      <c:pt idx="20">
                        <c:v>636</c:v>
                      </c:pt>
                      <c:pt idx="21">
                        <c:v>37</c:v>
                      </c:pt>
                      <c:pt idx="22">
                        <c:v>1603</c:v>
                      </c:pt>
                      <c:pt idx="23">
                        <c:v>1150</c:v>
                      </c:pt>
                      <c:pt idx="24">
                        <c:v>445</c:v>
                      </c:pt>
                      <c:pt idx="25">
                        <c:v>98</c:v>
                      </c:pt>
                      <c:pt idx="26">
                        <c:v>1173</c:v>
                      </c:pt>
                      <c:pt idx="27">
                        <c:v>1727</c:v>
                      </c:pt>
                      <c:pt idx="28">
                        <c:v>1359</c:v>
                      </c:pt>
                      <c:pt idx="29">
                        <c:v>911</c:v>
                      </c:pt>
                      <c:pt idx="30">
                        <c:v>1529</c:v>
                      </c:pt>
                      <c:pt idx="31">
                        <c:v>1188</c:v>
                      </c:pt>
                      <c:pt idx="32">
                        <c:v>-144</c:v>
                      </c:pt>
                      <c:pt idx="33">
                        <c:v>891</c:v>
                      </c:pt>
                      <c:pt idx="34">
                        <c:v>1426</c:v>
                      </c:pt>
                      <c:pt idx="35">
                        <c:v>569</c:v>
                      </c:pt>
                      <c:pt idx="36">
                        <c:v>1202</c:v>
                      </c:pt>
                      <c:pt idx="37">
                        <c:v>-37</c:v>
                      </c:pt>
                      <c:pt idx="38">
                        <c:v>708</c:v>
                      </c:pt>
                      <c:pt idx="39">
                        <c:v>899</c:v>
                      </c:pt>
                      <c:pt idx="40">
                        <c:v>1350</c:v>
                      </c:pt>
                      <c:pt idx="41">
                        <c:v>861</c:v>
                      </c:pt>
                      <c:pt idx="42">
                        <c:v>292</c:v>
                      </c:pt>
                      <c:pt idx="43">
                        <c:v>1676</c:v>
                      </c:pt>
                      <c:pt idx="44">
                        <c:v>1007</c:v>
                      </c:pt>
                      <c:pt idx="45">
                        <c:v>53</c:v>
                      </c:pt>
                      <c:pt idx="46">
                        <c:v>759</c:v>
                      </c:pt>
                      <c:pt idx="47">
                        <c:v>948</c:v>
                      </c:pt>
                      <c:pt idx="48">
                        <c:v>1510</c:v>
                      </c:pt>
                      <c:pt idx="49">
                        <c:v>269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F73-402D-9719-3884E53BE8DC}"/>
                  </c:ext>
                </c:extLst>
              </c15:ser>
            </c15:filteredLineSeries>
          </c:ext>
        </c:extLst>
      </c:lineChart>
      <c:catAx>
        <c:axId val="103089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98815"/>
        <c:crosses val="autoZero"/>
        <c:auto val="1"/>
        <c:lblAlgn val="ctr"/>
        <c:lblOffset val="100"/>
        <c:noMultiLvlLbl val="0"/>
      </c:catAx>
      <c:valAx>
        <c:axId val="103089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Follower</a:t>
                </a:r>
                <a:r>
                  <a:rPr lang="en-IN" baseline="0"/>
                  <a:t> gain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9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3</xdr:row>
      <xdr:rowOff>0</xdr:rowOff>
    </xdr:from>
    <xdr:to>
      <xdr:col>13</xdr:col>
      <xdr:colOff>84257</xdr:colOff>
      <xdr:row>20</xdr:row>
      <xdr:rowOff>38373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7DE3CF-53B3-718A-752D-964984D4B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2140" y="548640"/>
          <a:ext cx="5037257" cy="3147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291353</xdr:colOff>
      <xdr:row>10</xdr:row>
      <xdr:rowOff>46671</xdr:rowOff>
    </xdr:from>
    <xdr:to>
      <xdr:col>61</xdr:col>
      <xdr:colOff>88627</xdr:colOff>
      <xdr:row>42</xdr:row>
      <xdr:rowOff>12581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072E64-3BFB-D2CF-74DF-5E7764D07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</xdr:colOff>
      <xdr:row>4</xdr:row>
      <xdr:rowOff>53340</xdr:rowOff>
    </xdr:from>
    <xdr:to>
      <xdr:col>18</xdr:col>
      <xdr:colOff>69148</xdr:colOff>
      <xdr:row>22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2E0C09-51B1-CB36-A642-4E49816AB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9860" y="800100"/>
          <a:ext cx="6729028" cy="3314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20320</xdr:rowOff>
    </xdr:from>
    <xdr:to>
      <xdr:col>15</xdr:col>
      <xdr:colOff>538480</xdr:colOff>
      <xdr:row>24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9ADAFC-5DB0-BE4C-6705-4C82E04CE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7680" y="2052320"/>
          <a:ext cx="4389120" cy="25095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Myntra_Social_Media_Analytic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Myntra_Social_Media_Analytic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Myntra_Social_Media_Analytic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Myntra_Social_Media_Analytics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Myntra_Social_Media_Analytics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1.828435995369" createdVersion="8" refreshedVersion="8" minRefreshableVersion="3" recordCount="300" xr:uid="{B1FC5572-4E65-471A-9EF8-0BB436043623}">
  <cacheSource type="worksheet">
    <worksheetSource name="Table1" r:id="rId2"/>
  </cacheSource>
  <cacheFields count="15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 count="4">
        <s v="Twitter"/>
        <s v="YouTube"/>
        <s v="Instagram"/>
        <s v="Facebook"/>
      </sharedItems>
    </cacheField>
    <cacheField name="Date" numFmtId="164">
      <sharedItems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Campaign_Name" numFmtId="0">
      <sharedItems count="4">
        <s v="FashionUpgrade"/>
        <s v="EndOfSeasonSale"/>
        <s v="MyntraFestiveEdit"/>
        <s v="StyleRevolution"/>
      </sharedItems>
    </cacheField>
    <cacheField name="Hashtags Used 1" numFmtId="0">
      <sharedItems count="5">
        <s v="#MyntraSale"/>
        <s v="#MyntraFashion"/>
        <s v="#StyleWithMyntra"/>
        <s v="#MyntraTrend"/>
        <s v="#FashionDeals"/>
      </sharedItems>
    </cacheField>
    <cacheField name="Hashtags Used 2" numFmtId="0">
      <sharedItems count="6">
        <s v="NULL"/>
        <s v="#MyntraSale"/>
        <s v="#MyntraFashion"/>
        <s v="#FashionDeals"/>
        <s v="#StyleWithMyntra"/>
        <s v="#MyntraTrend"/>
      </sharedItems>
    </cacheField>
    <cacheField name="Engagement Rate" numFmtId="9">
      <sharedItems containsSemiMixedTypes="0" containsString="0" containsNumber="1" minValue="5.2551586421122697E-2" maxValue="1.8129251700680271" count="300">
        <n v="9.0759753593429152E-2"/>
        <n v="7.6097681302417369E-2"/>
        <n v="5.5531494209584788E-2"/>
        <n v="0.15105033277870217"/>
        <n v="6.5617093055946027E-2"/>
        <n v="0.17954159592529711"/>
        <n v="7.0272020725388601E-2"/>
        <n v="0.10340359564080613"/>
        <n v="8.8019732205778717E-2"/>
        <n v="7.198635172059864E-2"/>
        <n v="0.11571269132653061"/>
        <n v="0.12885405960945528"/>
        <n v="7.5868578363072495E-2"/>
        <n v="0.14521452145214522"/>
        <n v="5.941358024691358E-2"/>
        <n v="7.5843713789107758E-2"/>
        <n v="9.4235532537716729E-2"/>
        <n v="0.10297222222222223"/>
        <n v="0.10034235916588857"/>
        <n v="6.3809622724794221E-2"/>
        <n v="7.7249552156538517E-2"/>
        <n v="8.0294585987261149E-2"/>
        <n v="7.6867995018679955E-2"/>
        <n v="7.2070332803659209E-2"/>
        <n v="5.9496567505720827E-2"/>
        <n v="8.9730807577268201E-2"/>
        <n v="7.1501685934489398E-2"/>
        <n v="0.17057291666666666"/>
        <n v="0.21208106001558846"/>
        <n v="5.7655717106444085E-2"/>
        <n v="0.28245270711024134"/>
        <n v="0.19088381621305239"/>
        <n v="0.12781331438047855"/>
        <n v="7.055421038471886E-2"/>
        <n v="0.11861662987490802"/>
        <n v="7.6523535487678915E-2"/>
        <n v="0.17770337301587302"/>
        <n v="0.12577012959422137"/>
        <n v="7.2126493695121141E-2"/>
        <n v="0.13989473684210527"/>
        <n v="0.18433235867446393"/>
        <n v="0.21840570317563188"/>
        <n v="0.21826126954921804"/>
        <n v="9.8558100084817649E-2"/>
        <n v="7.5229902106199939E-2"/>
        <n v="0.16888537906137185"/>
        <n v="0.16683616863905326"/>
        <n v="7.349527665317139E-2"/>
        <n v="0.10617801791554102"/>
        <n v="0.13498547567175018"/>
        <n v="7.8689839572192513E-2"/>
        <n v="0.1569549774407219"/>
        <n v="0.36965174129353234"/>
        <n v="0.16510298716704411"/>
        <n v="9.1897770527460579E-2"/>
        <n v="0.12936184657162253"/>
        <n v="8.0862831858407078E-2"/>
        <n v="0.86601941747572819"/>
        <n v="9.2726081258191345E-2"/>
        <n v="0.1650782845473111"/>
        <n v="0.14276618001546368"/>
        <n v="0.53773584905660377"/>
        <n v="5.2551586421122697E-2"/>
        <n v="8.2047718322909427E-2"/>
        <n v="0.11990720603160794"/>
        <n v="0.29199735449735448"/>
        <n v="6.3749764195434822E-2"/>
        <n v="0.19310344827586207"/>
        <n v="9.3421052631578946E-2"/>
        <n v="0.38274706867671693"/>
        <n v="0.1199202926956749"/>
        <n v="8.837126600284495E-2"/>
        <n v="6.4265122330790625E-2"/>
        <n v="0.13351302785265048"/>
        <n v="0.12131237937689551"/>
        <n v="8.1177520071364848E-2"/>
        <n v="0.20416333066453163"/>
        <n v="8.2075471698113203E-2"/>
        <n v="8.860696018453515E-2"/>
        <n v="7.7533348349475686E-2"/>
        <n v="9.4413295955146179E-2"/>
        <n v="8.558620689655172E-2"/>
        <n v="0.16118220597196831"/>
        <n v="8.6737756939878216E-2"/>
        <n v="0.19156491900087783"/>
        <n v="6.5515821264328367E-2"/>
        <n v="0.20868152274837512"/>
        <n v="0.13576158940397351"/>
        <n v="0.16873144921925409"/>
        <n v="7.0822181933293038E-2"/>
        <n v="7.984956452889945E-2"/>
        <n v="0.13599052880820836"/>
        <n v="0.28045655718611695"/>
        <n v="0.16843866371633656"/>
        <n v="6.8108806480899509E-2"/>
        <n v="0.10339256865912763"/>
        <n v="8.7668609086629767E-2"/>
        <n v="0.11238095238095239"/>
        <n v="7.2000119875329657E-2"/>
        <n v="9.2298980747451867E-2"/>
        <n v="7.3707865168539333E-2"/>
        <n v="0.35666666666666669"/>
        <n v="9.9632815002833983E-2"/>
        <n v="0.13707250341997265"/>
        <n v="0.12896028558679162"/>
        <n v="8.5718409468138843E-2"/>
        <n v="6.2467323109097243E-2"/>
        <n v="0.10005698005698006"/>
        <n v="0.16744313510550835"/>
        <n v="0.12277759141227776"/>
        <n v="7.4071349760941527E-2"/>
        <n v="0.17441662408448305"/>
        <n v="0.11369088028965829"/>
        <n v="0.12942500000000001"/>
        <n v="6.2150491965739366E-2"/>
        <n v="0.16769515581610614"/>
        <n v="0.11792317271769326"/>
        <n v="8.0158206987475278E-2"/>
        <n v="0.31705583756345179"/>
        <n v="0.23414918414918415"/>
        <n v="0.32349397590361445"/>
        <n v="8.0565268065268064E-2"/>
        <n v="0.23616777446710979"/>
        <n v="0.33618012422360249"/>
        <n v="0.14265722032712325"/>
        <n v="9.9829463465827106E-2"/>
        <n v="6.9311459413307311E-2"/>
        <n v="0.12537731780940059"/>
        <n v="0.17291569632044715"/>
        <n v="8.9577656675749323E-2"/>
        <n v="0.13106060606060607"/>
        <n v="0.13493953401503478"/>
        <n v="7.172350922350923E-2"/>
        <n v="7.1133744304476013E-2"/>
        <n v="6.461481657304112E-2"/>
        <n v="0.20357370772176134"/>
        <n v="0.20871010638297871"/>
        <n v="0.16065573770491803"/>
        <n v="9.422796795338674E-2"/>
        <n v="0.15571802706241816"/>
        <n v="0.2316508937960042"/>
        <n v="6.9438087973557078E-2"/>
        <n v="0.50192307692307692"/>
        <n v="6.5455787978772245E-2"/>
        <n v="5.6416400425985093E-2"/>
        <n v="0.21636759108210984"/>
        <n v="0.15283323095823095"/>
        <n v="0.19864505202032423"/>
        <n v="7.7291421856639245E-2"/>
        <n v="6.3713620488940623E-2"/>
        <n v="0.10977802753582468"/>
        <n v="0.19511518179295032"/>
        <n v="0.17801355732390214"/>
        <n v="0.31965192168237855"/>
        <n v="0.11489268506351293"/>
        <n v="0.1095786671562328"/>
        <n v="0.10793717277486911"/>
        <n v="0.11307081114118571"/>
        <n v="0.21745283018867925"/>
        <n v="9.1137810638734856E-2"/>
        <n v="0.11508145034156594"/>
        <n v="8.6630570595585168E-2"/>
        <n v="0.23101532992668297"/>
        <n v="0.15355188488042157"/>
        <n v="0.15405989502933004"/>
        <n v="0.14320716458262928"/>
        <n v="9.859917557465242E-2"/>
        <n v="7.412002573292896E-2"/>
        <n v="0.12490884163239112"/>
        <n v="6.8655003457763777E-2"/>
        <n v="9.8068107400130972E-2"/>
        <n v="7.2739802071170159E-2"/>
        <n v="0.14348370927318296"/>
        <n v="0.13809430512016718"/>
        <n v="0.6508215962441315"/>
        <n v="5.4081095313322801E-2"/>
        <n v="9.1365878393951966E-2"/>
        <n v="0.70387596899224802"/>
        <n v="7.5280481001673588E-2"/>
        <n v="9.023070704558174E-2"/>
        <n v="0.23673521198273673"/>
        <n v="0.10132030477519921"/>
        <n v="0.28696581196581195"/>
        <n v="0.13614307931570763"/>
        <n v="9.5290736237010829E-2"/>
        <n v="8.4862714173059003E-2"/>
        <n v="8.3726921425504502E-2"/>
        <n v="8.4946236559139784E-2"/>
        <n v="7.2503306878306875E-2"/>
        <n v="5.5909322465613857E-2"/>
        <n v="9.9578134817341346E-2"/>
        <n v="0.1441326530612245"/>
        <n v="9.9255211647142488E-2"/>
        <n v="8.4203612479474554E-2"/>
        <n v="0.13667732704931829"/>
        <n v="0.12575841147269717"/>
        <n v="6.4884520656164318E-2"/>
        <n v="0.19847328244274809"/>
        <n v="8.5520696919660646E-2"/>
        <n v="6.246991874522239E-2"/>
        <n v="9.0606816292601824E-2"/>
        <n v="8.2108498129342594E-2"/>
        <n v="5.7332570758993957E-2"/>
        <n v="0.29713518352730528"/>
        <n v="0.1043848167539267"/>
        <n v="0.10768685795253277"/>
        <n v="0.14316214319138981"/>
        <n v="8.6537809426924378E-2"/>
        <n v="8.2753164556962022E-2"/>
        <n v="0.48518407662376534"/>
        <n v="0.18632075471698112"/>
        <n v="0.123309241094476"/>
        <n v="8.21914819340199E-2"/>
        <n v="0.37955854126679461"/>
        <n v="7.2116777745580993E-2"/>
        <n v="5.8316766070245198E-2"/>
        <n v="6.2603126356925748E-2"/>
        <n v="0.18806848582129482"/>
        <n v="0.25701459034792368"/>
        <n v="1.8129251700680271"/>
        <n v="0.15989220750056141"/>
        <n v="0.11143487163332809"/>
        <n v="6.2129685107516146E-2"/>
        <n v="0.32083531086853345"/>
        <n v="5.6653298485940883E-2"/>
        <n v="0.25537047673750718"/>
        <n v="0.11232349165596919"/>
        <n v="8.1808097615085965E-2"/>
        <n v="0.13387048227640017"/>
        <n v="7.7512577512577507E-2"/>
        <n v="8.5734265734265735E-2"/>
        <n v="0.7168674698795181"/>
        <n v="7.2969143576826198E-2"/>
        <n v="7.5968222442899705E-2"/>
        <n v="0.1283706906360223"/>
        <n v="0.12943516308671441"/>
        <n v="6.7234398994834563E-2"/>
        <n v="7.2579365079365077E-2"/>
        <n v="0.25062082139446035"/>
        <n v="8.6293505561535699E-2"/>
        <n v="0.17743908486792079"/>
        <n v="0.18519683938186141"/>
        <n v="9.7001272669424113E-2"/>
        <n v="0.25869984981763572"/>
        <n v="0.12232704402515723"/>
        <n v="0.23656250000000001"/>
        <n v="0.11879910213243547"/>
        <n v="0.26297968397291194"/>
        <n v="8.7733440816874911E-2"/>
        <n v="7.3170731707317069E-2"/>
        <n v="0.11619462599854757"/>
        <n v="0.15761129727142173"/>
        <n v="8.6897539284772202E-2"/>
        <n v="0.13331166419019316"/>
        <n v="0.11996283514733209"/>
        <n v="5.7936488444630008E-2"/>
        <n v="7.9915048543689318E-2"/>
        <n v="0.2023049153013052"/>
        <n v="0.25771055753262156"/>
        <n v="8.7752275425405618E-2"/>
        <n v="8.2835359571399134E-2"/>
        <n v="0.15339966832504145"/>
        <n v="0.26876680752977333"/>
        <n v="0.53389830508474578"/>
        <n v="0.25279701651571657"/>
        <n v="0.10086880280567512"/>
        <n v="6.3947934081681396E-2"/>
        <n v="8.4062694239588759E-2"/>
        <n v="0.22157421618066214"/>
        <n v="6.7103868574456813E-2"/>
        <n v="0.20675990675990677"/>
        <n v="0.14220299534507186"/>
        <n v="9.7700431949264685E-2"/>
        <n v="7.8849599245638849E-2"/>
        <n v="0.16754738655944859"/>
        <n v="0.2015852613538989"/>
        <n v="0.24763928234183191"/>
        <n v="0.11114018842096787"/>
        <n v="5.9928644240570844E-2"/>
        <n v="8.3274853801169585E-2"/>
        <n v="6.3118551273952411E-2"/>
        <n v="0.1071650124069479"/>
        <n v="5.8243321401216137E-2"/>
        <n v="0.11465952405480581"/>
        <n v="0.13517919809886983"/>
        <n v="0.19484607062063539"/>
        <n v="0.30126002290950743"/>
        <n v="6.800325430032543E-2"/>
        <n v="7.3018902217375503E-2"/>
        <n v="8.3921940869371006E-2"/>
        <n v="7.1956537279290869E-2"/>
        <n v="0.12353896103896105"/>
        <n v="0.12428384068475185"/>
        <n v="0.18248432325794406"/>
        <n v="0.16540727459016394"/>
        <n v="5.9387824897400819E-2"/>
        <n v="0.24349030470914126"/>
        <n v="5.8563792702765516E-2"/>
        <n v="0.13840458048129492"/>
        <n v="8.3539958039290485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5.598508680552" createdVersion="8" refreshedVersion="8" minRefreshableVersion="3" recordCount="456" xr:uid="{C75C7179-8762-481E-911C-CB7A131400B4}">
  <cacheSource type="worksheet">
    <worksheetSource name="Table7_1" r:id="rId2"/>
  </cacheSource>
  <cacheFields count="14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Campaign_Name" numFmtId="0">
      <sharedItems/>
    </cacheField>
    <cacheField name="Engagement Rate" numFmtId="0">
      <sharedItems containsSemiMixedTypes="0" containsString="0" containsNumber="1" containsInteger="1" minValue="315" maxValue="6278"/>
    </cacheField>
    <cacheField name="Hashtags Used" numFmtId="0">
      <sharedItems count="5">
        <s v="#MyntraSale"/>
        <s v="#MyntraFashion"/>
        <s v="#StyleWithMyntra"/>
        <s v="#MyntraTrend"/>
        <s v="#FashionDeal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5.609745717593" createdVersion="8" refreshedVersion="8" minRefreshableVersion="3" recordCount="300" xr:uid="{11CFE194-5BBC-4873-86EA-FE9BF3076DAA}">
  <cacheSource type="worksheet">
    <worksheetSource name="Table4" r:id="rId2"/>
  </cacheSource>
  <cacheFields count="15">
    <cacheField name="Post ID" numFmtId="0">
      <sharedItems/>
    </cacheField>
    <cacheField name="Platform" numFmtId="0">
      <sharedItems count="4">
        <s v="Facebook"/>
        <s v="Instagram"/>
        <s v="YouTube"/>
        <s v="Twitter"/>
      </sharedItems>
    </cacheField>
    <cacheField name="Date" numFmtId="0">
      <sharedItems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Campaign_Name" numFmtId="0">
      <sharedItems/>
    </cacheField>
    <cacheField name="Hashtags Used 1" numFmtId="0">
      <sharedItems/>
    </cacheField>
    <cacheField name="Hashtags Used 2" numFmtId="0">
      <sharedItems/>
    </cacheField>
    <cacheField name="Engagement Rate" numFmtId="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4.617431134262" createdVersion="8" refreshedVersion="8" minRefreshableVersion="3" recordCount="200" xr:uid="{6FEB4823-D6FC-4B0F-A316-67FB3FBEC752}">
  <cacheSource type="worksheet">
    <worksheetSource name="Table5" r:id="rId2"/>
  </cacheSource>
  <cacheFields count="11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0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 count="200">
        <n v="344084"/>
        <n v="42654"/>
        <n v="146834"/>
        <n v="395536"/>
        <n v="49157"/>
        <n v="316555"/>
        <n v="254347"/>
        <n v="413878"/>
        <n v="456946"/>
        <n v="169496"/>
        <n v="122732"/>
        <n v="382851"/>
        <n v="35664"/>
        <n v="26295"/>
        <n v="298421"/>
        <n v="426184"/>
        <n v="419447"/>
        <n v="220020"/>
        <n v="315305"/>
        <n v="113678"/>
        <n v="58223"/>
        <n v="251694"/>
        <n v="389810"/>
        <n v="233694"/>
        <n v="154169"/>
        <n v="334626"/>
        <n v="226002"/>
        <n v="156683"/>
        <n v="473812"/>
        <n v="295032"/>
        <n v="198278"/>
        <n v="306564"/>
        <n v="23664"/>
        <n v="435034"/>
        <n v="287574"/>
        <n v="62499"/>
        <n v="437968"/>
        <n v="125034"/>
        <n v="449994"/>
        <n v="320650"/>
        <n v="489188"/>
        <n v="307612"/>
        <n v="434883"/>
        <n v="102042"/>
        <n v="325444"/>
        <n v="183924"/>
        <n v="188655"/>
        <n v="87443"/>
        <n v="453799"/>
        <n v="379380"/>
        <n v="186454"/>
        <n v="239044"/>
        <n v="101332"/>
        <n v="496982"/>
        <n v="318779"/>
        <n v="370971"/>
        <n v="378054"/>
        <n v="307524"/>
        <n v="434047"/>
        <n v="64583"/>
        <n v="50793"/>
        <n v="474162"/>
        <n v="392355"/>
        <n v="119934"/>
        <n v="422625"/>
        <n v="239753"/>
        <n v="268516"/>
        <n v="63177"/>
        <n v="370269"/>
        <n v="453423"/>
        <n v="64906"/>
        <n v="94360"/>
        <n v="187183"/>
        <n v="379363"/>
        <n v="476486"/>
        <n v="117767"/>
        <n v="388555"/>
        <n v="157599"/>
        <n v="309772"/>
        <n v="199178"/>
        <n v="357089"/>
        <n v="23492"/>
        <n v="258287"/>
        <n v="256910"/>
        <n v="346522"/>
        <n v="209987"/>
        <n v="240550"/>
        <n v="305827"/>
        <n v="54935"/>
        <n v="319186"/>
        <n v="439080"/>
        <n v="258944"/>
        <n v="51395"/>
        <n v="309483"/>
        <n v="87305"/>
        <n v="121091"/>
        <n v="51087"/>
        <n v="338847"/>
        <n v="487523"/>
        <n v="301695"/>
        <n v="282466"/>
        <n v="336661"/>
        <n v="88455"/>
        <n v="62535"/>
        <n v="421957"/>
        <n v="470269"/>
        <n v="309904"/>
        <n v="221274"/>
        <n v="220616"/>
        <n v="35842"/>
        <n v="20607"/>
        <n v="451894"/>
        <n v="465553"/>
        <n v="415815"/>
        <n v="327183"/>
        <n v="488901"/>
        <n v="280795"/>
        <n v="93347"/>
        <n v="81119"/>
        <n v="25177"/>
        <n v="140804"/>
        <n v="379431"/>
        <n v="274831"/>
        <n v="136845"/>
        <n v="466382"/>
        <n v="95728"/>
        <n v="371156"/>
        <n v="95410"/>
        <n v="349413"/>
        <n v="224699"/>
        <n v="487896"/>
        <n v="14437"/>
        <n v="383681"/>
        <n v="479490"/>
        <n v="124404"/>
        <n v="336949"/>
        <n v="357265"/>
        <n v="321307"/>
        <n v="262569"/>
        <n v="461669"/>
        <n v="351556"/>
        <n v="135987"/>
        <n v="177554"/>
        <n v="270766"/>
        <n v="222126"/>
        <n v="309914"/>
        <n v="126582"/>
        <n v="485280"/>
        <n v="453243"/>
        <n v="104967"/>
        <n v="145608"/>
        <n v="105980"/>
        <n v="126524"/>
        <n v="230448"/>
        <n v="317007"/>
        <n v="464239"/>
        <n v="257579"/>
        <n v="366881"/>
        <n v="466575"/>
        <n v="224534"/>
        <n v="462142"/>
        <n v="340842"/>
        <n v="12471"/>
        <n v="98397"/>
        <n v="410330"/>
        <n v="342129"/>
        <n v="12447"/>
        <n v="17380"/>
        <n v="364810"/>
        <n v="373606"/>
        <n v="211090"/>
        <n v="441931"/>
        <n v="282780"/>
        <n v="370070"/>
        <n v="198350"/>
        <n v="435726"/>
        <n v="78789"/>
        <n v="98596"/>
        <n v="29589"/>
        <n v="290354"/>
        <n v="66682"/>
        <n v="70707"/>
        <n v="142507"/>
        <n v="369525"/>
        <n v="62942"/>
        <n v="377382"/>
        <n v="333851"/>
        <n v="270958"/>
        <n v="445944"/>
        <n v="224830"/>
        <n v="487289"/>
        <n v="11435"/>
        <n v="447902"/>
        <n v="418696"/>
        <n v="484364"/>
        <n v="148477"/>
        <n v="468301"/>
        <n v="364820"/>
        <n v="456298"/>
        <n v="82558"/>
      </sharedItems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Follower Growth Rate" numFmtId="0">
      <sharedItems containsSemiMixedTypes="0" containsString="0" containsNumber="1" minValue="0.99591802126989515" maxValue="1.1082511426509503"/>
    </cacheField>
    <cacheField name="Net_Followers" numFmtId="0">
      <sharedItems containsSemiMixedTypes="0" containsString="0" containsNumber="1" containsInteger="1" minValue="-337" maxValue="1881"/>
    </cacheField>
    <cacheField name="Engagement" numFmtId="0">
      <sharedItems containsBlank="1"/>
    </cacheField>
    <cacheField name="Days (Week_Start_Date)" numFmtId="0" databaseField="0">
      <fieldGroup base="0">
        <rangePr groupBy="days" startDate="2024-06-03T00:00:00" endDate="2025-05-13T00:00:00" groupInterval="7"/>
        <groupItems count="52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3-05-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13.761142361109" createdVersion="8" refreshedVersion="8" minRefreshableVersion="3" recordCount="300" xr:uid="{F18266DA-CCCA-4812-92A8-34E5F47D4000}">
  <cacheSource type="worksheet">
    <worksheetSource ref="A1:N301" sheet=" Raw_data" r:id="rId2"/>
  </cacheSource>
  <cacheFields count="14">
    <cacheField name="Post ID" numFmtId="0">
      <sharedItems/>
    </cacheField>
    <cacheField name="Platform" numFmtId="0">
      <sharedItems/>
    </cacheField>
    <cacheField name="Date" numFmtId="0">
      <sharedItems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unt="4">
        <s v="FashionUpgrade"/>
        <s v="EndOfSeasonSale"/>
        <s v="MyntraFestiveEdit"/>
        <s v="StyleRevolution"/>
      </sharedItems>
    </cacheField>
    <cacheField name="Engagement Rate" numFmtId="0">
      <sharedItems containsSemiMixedTypes="0" containsString="0" containsNumber="1" containsInteger="1" minValue="315" maxValue="6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s v="2024-12-23"/>
    <x v="0"/>
    <s v="Explore the latest reel on Myntra! Trendy styles await."/>
    <n v="1461"/>
    <n v="184"/>
    <n v="344"/>
    <n v="21915"/>
    <n v="21675"/>
    <n v="15"/>
    <x v="0"/>
    <x v="0"/>
    <x v="0"/>
    <x v="0"/>
  </r>
  <r>
    <x v="1"/>
    <x v="0"/>
    <s v="2025-04-03"/>
    <x v="1"/>
    <s v="Explore the latest text on Myntra! Trendy styles await."/>
    <n v="4054"/>
    <n v="389"/>
    <n v="493"/>
    <n v="64864"/>
    <n v="64383"/>
    <n v="117"/>
    <x v="1"/>
    <x v="1"/>
    <x v="0"/>
    <x v="1"/>
  </r>
  <r>
    <x v="2"/>
    <x v="1"/>
    <s v="2025-05-12"/>
    <x v="0"/>
    <s v="Explore the latest reel on Myntra! Trendy styles await."/>
    <n v="2795"/>
    <n v="105"/>
    <n v="49"/>
    <n v="53105"/>
    <n v="52307"/>
    <n v="204"/>
    <x v="0"/>
    <x v="1"/>
    <x v="1"/>
    <x v="2"/>
  </r>
  <r>
    <x v="3"/>
    <x v="2"/>
    <s v="2024-08-12"/>
    <x v="2"/>
    <s v="Explore the latest story on Myntra! Trendy styles await."/>
    <n v="2404"/>
    <n v="363"/>
    <n v="138"/>
    <n v="19232"/>
    <n v="18636"/>
    <n v="128"/>
    <x v="0"/>
    <x v="0"/>
    <x v="0"/>
    <x v="3"/>
  </r>
  <r>
    <x v="4"/>
    <x v="1"/>
    <s v="2024-06-26"/>
    <x v="0"/>
    <s v="Explore the latest reel on Myntra! Trendy styles await."/>
    <n v="3557"/>
    <n v="687"/>
    <n v="424"/>
    <n v="71140"/>
    <n v="70701"/>
    <n v="224"/>
    <x v="2"/>
    <x v="2"/>
    <x v="2"/>
    <x v="4"/>
  </r>
  <r>
    <x v="5"/>
    <x v="3"/>
    <s v="2024-10-31"/>
    <x v="3"/>
    <s v="Explore the latest carousel on Myntra! Trendy styles await."/>
    <n v="2945"/>
    <n v="930"/>
    <n v="355"/>
    <n v="23560"/>
    <n v="23275"/>
    <n v="256"/>
    <x v="1"/>
    <x v="3"/>
    <x v="0"/>
    <x v="5"/>
  </r>
  <r>
    <x v="6"/>
    <x v="0"/>
    <s v="2024-06-24"/>
    <x v="3"/>
    <s v="Explore the latest carousel on Myntra! Trendy styles await."/>
    <n v="3860"/>
    <n v="201"/>
    <n v="279"/>
    <n v="61760"/>
    <n v="61660"/>
    <n v="235"/>
    <x v="2"/>
    <x v="3"/>
    <x v="0"/>
    <x v="6"/>
  </r>
  <r>
    <x v="7"/>
    <x v="1"/>
    <s v="2024-07-13"/>
    <x v="4"/>
    <s v="Explore the latest image on Myntra! Trendy styles await."/>
    <n v="3929"/>
    <n v="262"/>
    <n v="278"/>
    <n v="43219"/>
    <n v="42841"/>
    <n v="39"/>
    <x v="2"/>
    <x v="1"/>
    <x v="1"/>
    <x v="7"/>
  </r>
  <r>
    <x v="8"/>
    <x v="3"/>
    <s v="2024-08-30"/>
    <x v="1"/>
    <s v="Explore the latest text on Myntra! Trendy styles await."/>
    <n v="3784"/>
    <n v="808"/>
    <n v="404"/>
    <n v="56760"/>
    <n v="56343"/>
    <n v="131"/>
    <x v="2"/>
    <x v="1"/>
    <x v="1"/>
    <x v="8"/>
  </r>
  <r>
    <x v="9"/>
    <x v="3"/>
    <s v="2025-03-11"/>
    <x v="4"/>
    <s v="Explore the latest image on Myntra! Trendy styles await."/>
    <n v="4241"/>
    <n v="902"/>
    <n v="47"/>
    <n v="72097"/>
    <n v="71598"/>
    <n v="167"/>
    <x v="3"/>
    <x v="3"/>
    <x v="0"/>
    <x v="9"/>
  </r>
  <r>
    <x v="10"/>
    <x v="2"/>
    <s v="2025-02-02"/>
    <x v="2"/>
    <s v="Explore the latest story on Myntra! Trendy styles await."/>
    <n v="1792"/>
    <n v="614"/>
    <n v="497"/>
    <n v="25088"/>
    <n v="24675"/>
    <n v="65"/>
    <x v="0"/>
    <x v="2"/>
    <x v="0"/>
    <x v="10"/>
  </r>
  <r>
    <x v="11"/>
    <x v="3"/>
    <s v="2024-07-21"/>
    <x v="0"/>
    <s v="Explore the latest reel on Myntra! Trendy styles await."/>
    <n v="1946"/>
    <n v="686"/>
    <n v="377"/>
    <n v="23352"/>
    <n v="22982"/>
    <n v="213"/>
    <x v="2"/>
    <x v="2"/>
    <x v="1"/>
    <x v="11"/>
  </r>
  <r>
    <x v="12"/>
    <x v="1"/>
    <s v="2024-11-18"/>
    <x v="3"/>
    <s v="Explore the latest carousel on Myntra! Trendy styles await."/>
    <n v="1171"/>
    <n v="286"/>
    <n v="231"/>
    <n v="22249"/>
    <n v="21282"/>
    <n v="114"/>
    <x v="3"/>
    <x v="1"/>
    <x v="0"/>
    <x v="12"/>
  </r>
  <r>
    <x v="13"/>
    <x v="3"/>
    <s v="2025-02-16"/>
    <x v="2"/>
    <s v="Explore the latest story on Myntra! Trendy styles await."/>
    <n v="4242"/>
    <n v="555"/>
    <n v="131"/>
    <n v="33936"/>
    <n v="33802"/>
    <n v="265"/>
    <x v="2"/>
    <x v="0"/>
    <x v="2"/>
    <x v="13"/>
  </r>
  <r>
    <x v="14"/>
    <x v="3"/>
    <s v="2024-10-24"/>
    <x v="5"/>
    <s v="Explore the latest video on Myntra! Trendy styles await."/>
    <n v="3888"/>
    <n v="604"/>
    <n v="128"/>
    <n v="77760"/>
    <n v="77167"/>
    <n v="20"/>
    <x v="0"/>
    <x v="1"/>
    <x v="3"/>
    <x v="14"/>
  </r>
  <r>
    <x v="15"/>
    <x v="3"/>
    <s v="2024-08-26"/>
    <x v="1"/>
    <s v="Explore the latest text on Myntra! Trendy styles await."/>
    <n v="3452"/>
    <n v="377"/>
    <n v="360"/>
    <n v="55232"/>
    <n v="55075"/>
    <n v="87"/>
    <x v="2"/>
    <x v="0"/>
    <x v="3"/>
    <x v="15"/>
  </r>
  <r>
    <x v="16"/>
    <x v="3"/>
    <s v="2025-05-05"/>
    <x v="1"/>
    <s v="Explore the latest text on Myntra! Trendy styles await."/>
    <n v="4441"/>
    <n v="511"/>
    <n v="70"/>
    <n v="53292"/>
    <n v="53082"/>
    <n v="159"/>
    <x v="2"/>
    <x v="4"/>
    <x v="0"/>
    <x v="16"/>
  </r>
  <r>
    <x v="17"/>
    <x v="2"/>
    <s v="2024-08-19"/>
    <x v="0"/>
    <s v="Explore the latest reel on Myntra! Trendy styles await."/>
    <n v="3000"/>
    <n v="382"/>
    <n v="325"/>
    <n v="36000"/>
    <n v="35819"/>
    <n v="19"/>
    <x v="1"/>
    <x v="2"/>
    <x v="0"/>
    <x v="17"/>
  </r>
  <r>
    <x v="18"/>
    <x v="2"/>
    <s v="2024-06-23"/>
    <x v="5"/>
    <s v="Explore the latest video on Myntra! Trendy styles await."/>
    <n v="1071"/>
    <n v="519"/>
    <n v="22"/>
    <n v="16065"/>
    <n v="15865"/>
    <n v="103"/>
    <x v="2"/>
    <x v="0"/>
    <x v="4"/>
    <x v="18"/>
  </r>
  <r>
    <x v="19"/>
    <x v="2"/>
    <s v="2024-09-09"/>
    <x v="3"/>
    <s v="Explore the latest carousel on Myntra! Trendy styles await."/>
    <n v="4054"/>
    <n v="488"/>
    <n v="373"/>
    <n v="77026"/>
    <n v="76881"/>
    <n v="25"/>
    <x v="2"/>
    <x v="1"/>
    <x v="1"/>
    <x v="19"/>
  </r>
  <r>
    <x v="20"/>
    <x v="2"/>
    <s v="2025-01-04"/>
    <x v="0"/>
    <s v="Explore the latest reel on Myntra! Trendy styles await."/>
    <n v="4838"/>
    <n v="640"/>
    <n v="128"/>
    <n v="72570"/>
    <n v="72396"/>
    <n v="83"/>
    <x v="2"/>
    <x v="2"/>
    <x v="5"/>
    <x v="20"/>
  </r>
  <r>
    <x v="21"/>
    <x v="3"/>
    <s v="2025-02-27"/>
    <x v="1"/>
    <s v="Explore the latest text on Myntra! Trendy styles await."/>
    <n v="1570"/>
    <n v="187"/>
    <n v="260"/>
    <n v="25120"/>
    <n v="24613"/>
    <n v="133"/>
    <x v="3"/>
    <x v="0"/>
    <x v="0"/>
    <x v="21"/>
  </r>
  <r>
    <x v="22"/>
    <x v="3"/>
    <s v="2024-11-06"/>
    <x v="5"/>
    <s v="Explore the latest video on Myntra! Trendy styles await."/>
    <n v="1606"/>
    <n v="547"/>
    <n v="316"/>
    <n v="32120"/>
    <n v="31736"/>
    <n v="225"/>
    <x v="2"/>
    <x v="0"/>
    <x v="0"/>
    <x v="22"/>
  </r>
  <r>
    <x v="23"/>
    <x v="3"/>
    <s v="2025-01-23"/>
    <x v="5"/>
    <s v="Explore the latest video on Myntra! Trendy styles await."/>
    <n v="3961"/>
    <n v="761"/>
    <n v="131"/>
    <n v="67337"/>
    <n v="66615"/>
    <n v="161"/>
    <x v="1"/>
    <x v="3"/>
    <x v="0"/>
    <x v="23"/>
  </r>
  <r>
    <x v="24"/>
    <x v="0"/>
    <s v="2025-04-10"/>
    <x v="3"/>
    <s v="Explore the latest carousel on Myntra! Trendy styles await."/>
    <n v="3128"/>
    <n v="211"/>
    <n v="197"/>
    <n v="59432"/>
    <n v="59182"/>
    <n v="238"/>
    <x v="0"/>
    <x v="2"/>
    <x v="1"/>
    <x v="24"/>
  </r>
  <r>
    <x v="25"/>
    <x v="1"/>
    <s v="2025-04-05"/>
    <x v="0"/>
    <s v="Explore the latest reel on Myntra! Trendy styles await."/>
    <n v="3009"/>
    <n v="413"/>
    <n v="358"/>
    <n v="42126"/>
    <n v="41309"/>
    <n v="211"/>
    <x v="1"/>
    <x v="0"/>
    <x v="0"/>
    <x v="25"/>
  </r>
  <r>
    <x v="26"/>
    <x v="1"/>
    <s v="2024-09-17"/>
    <x v="1"/>
    <s v="Explore the latest text on Myntra! Trendy styles await."/>
    <n v="2076"/>
    <n v="195"/>
    <n v="104"/>
    <n v="33216"/>
    <n v="32244"/>
    <n v="51"/>
    <x v="3"/>
    <x v="3"/>
    <x v="0"/>
    <x v="26"/>
  </r>
  <r>
    <x v="27"/>
    <x v="2"/>
    <s v="2025-03-04"/>
    <x v="5"/>
    <s v="Explore the latest video on Myntra! Trendy styles await."/>
    <n v="432"/>
    <n v="624"/>
    <n v="123"/>
    <n v="6912"/>
    <n v="6259"/>
    <n v="79"/>
    <x v="1"/>
    <x v="0"/>
    <x v="5"/>
    <x v="27"/>
  </r>
  <r>
    <x v="28"/>
    <x v="2"/>
    <s v="2025-01-31"/>
    <x v="3"/>
    <s v="Explore the latest carousel on Myntra! Trendy styles await."/>
    <n v="2566"/>
    <n v="118"/>
    <n v="37"/>
    <n v="12830"/>
    <n v="12264"/>
    <n v="221"/>
    <x v="2"/>
    <x v="3"/>
    <x v="2"/>
    <x v="28"/>
  </r>
  <r>
    <x v="29"/>
    <x v="2"/>
    <s v="2025-02-25"/>
    <x v="5"/>
    <s v="Explore the latest video on Myntra! Trendy styles await."/>
    <n v="3095"/>
    <n v="39"/>
    <n v="78"/>
    <n v="55710"/>
    <n v="54808"/>
    <n v="93"/>
    <x v="3"/>
    <x v="0"/>
    <x v="0"/>
    <x v="29"/>
  </r>
  <r>
    <x v="30"/>
    <x v="2"/>
    <s v="2024-12-16"/>
    <x v="1"/>
    <s v="Explore the latest text on Myntra! Trendy styles await."/>
    <n v="438"/>
    <n v="153"/>
    <n v="275"/>
    <n v="3066"/>
    <n v="2701"/>
    <n v="282"/>
    <x v="3"/>
    <x v="3"/>
    <x v="0"/>
    <x v="30"/>
  </r>
  <r>
    <x v="31"/>
    <x v="0"/>
    <s v="2024-07-31"/>
    <x v="3"/>
    <s v="Explore the latest carousel on Myntra! Trendy styles await."/>
    <n v="2278"/>
    <n v="10"/>
    <n v="321"/>
    <n v="13668"/>
    <n v="12676"/>
    <n v="275"/>
    <x v="3"/>
    <x v="3"/>
    <x v="2"/>
    <x v="31"/>
  </r>
  <r>
    <x v="32"/>
    <x v="3"/>
    <s v="2024-08-21"/>
    <x v="4"/>
    <s v="Explore the latest image on Myntra! Trendy styles await."/>
    <n v="1407"/>
    <n v="400"/>
    <n v="351"/>
    <n v="16884"/>
    <n v="15954"/>
    <n v="113"/>
    <x v="2"/>
    <x v="1"/>
    <x v="3"/>
    <x v="32"/>
  </r>
  <r>
    <x v="33"/>
    <x v="3"/>
    <s v="2025-03-26"/>
    <x v="1"/>
    <s v="Explore the latest text on Myntra! Trendy styles await."/>
    <n v="1652"/>
    <n v="89"/>
    <n v="357"/>
    <n v="29736"/>
    <n v="28771"/>
    <n v="215"/>
    <x v="1"/>
    <x v="3"/>
    <x v="3"/>
    <x v="33"/>
  </r>
  <r>
    <x v="34"/>
    <x v="2"/>
    <s v="2024-11-30"/>
    <x v="5"/>
    <s v="Explore the latest video on Myntra! Trendy styles await."/>
    <n v="3775"/>
    <n v="16"/>
    <n v="239"/>
    <n v="33975"/>
    <n v="33310"/>
    <n v="271"/>
    <x v="2"/>
    <x v="2"/>
    <x v="1"/>
    <x v="34"/>
  </r>
  <r>
    <x v="35"/>
    <x v="2"/>
    <s v="2025-04-19"/>
    <x v="2"/>
    <s v="Explore the latest story on Myntra! Trendy styles await."/>
    <n v="4518"/>
    <n v="285"/>
    <n v="383"/>
    <n v="67770"/>
    <n v="67621"/>
    <n v="31"/>
    <x v="1"/>
    <x v="4"/>
    <x v="0"/>
    <x v="35"/>
  </r>
  <r>
    <x v="36"/>
    <x v="3"/>
    <s v="2025-01-06"/>
    <x v="3"/>
    <s v="Explore the latest carousel on Myntra! Trendy styles await."/>
    <n v="3024"/>
    <n v="925"/>
    <n v="350"/>
    <n v="24192"/>
    <n v="23518"/>
    <n v="36"/>
    <x v="2"/>
    <x v="0"/>
    <x v="0"/>
    <x v="36"/>
  </r>
  <r>
    <x v="37"/>
    <x v="1"/>
    <s v="2025-02-17"/>
    <x v="0"/>
    <s v="Explore the latest reel on Myntra! Trendy styles await."/>
    <n v="3138"/>
    <n v="123"/>
    <n v="291"/>
    <n v="28242"/>
    <n v="27550"/>
    <n v="87"/>
    <x v="3"/>
    <x v="4"/>
    <x v="0"/>
    <x v="37"/>
  </r>
  <r>
    <x v="38"/>
    <x v="3"/>
    <s v="2024-11-25"/>
    <x v="4"/>
    <s v="Explore the latest image on Myntra! Trendy styles await."/>
    <n v="3564"/>
    <n v="629"/>
    <n v="177"/>
    <n v="60588"/>
    <n v="59627"/>
    <n v="92"/>
    <x v="2"/>
    <x v="4"/>
    <x v="1"/>
    <x v="38"/>
  </r>
  <r>
    <x v="39"/>
    <x v="0"/>
    <s v="2025-03-07"/>
    <x v="4"/>
    <s v="Explore the latest image on Myntra! Trendy styles await."/>
    <n v="4750"/>
    <n v="151"/>
    <n v="415"/>
    <n v="38000"/>
    <n v="37792"/>
    <n v="299"/>
    <x v="1"/>
    <x v="2"/>
    <x v="1"/>
    <x v="39"/>
  </r>
  <r>
    <x v="40"/>
    <x v="2"/>
    <s v="2025-03-08"/>
    <x v="0"/>
    <s v="Explore the latest reel on Myntra! Trendy styles await."/>
    <n v="456"/>
    <n v="629"/>
    <n v="428"/>
    <n v="8208"/>
    <n v="7377"/>
    <n v="205"/>
    <x v="2"/>
    <x v="0"/>
    <x v="3"/>
    <x v="40"/>
  </r>
  <r>
    <x v="41"/>
    <x v="1"/>
    <s v="2025-03-05"/>
    <x v="0"/>
    <s v="Explore the latest reel on Myntra! Trendy styles await."/>
    <n v="1543"/>
    <n v="820"/>
    <n v="333"/>
    <n v="12344"/>
    <n v="11496"/>
    <n v="241"/>
    <x v="2"/>
    <x v="2"/>
    <x v="0"/>
    <x v="41"/>
  </r>
  <r>
    <x v="42"/>
    <x v="2"/>
    <s v="2024-12-14"/>
    <x v="3"/>
    <s v="Explore the latest carousel on Myntra! Trendy styles await."/>
    <n v="2174"/>
    <n v="658"/>
    <n v="15"/>
    <n v="13044"/>
    <n v="12206"/>
    <n v="137"/>
    <x v="3"/>
    <x v="0"/>
    <x v="2"/>
    <x v="42"/>
  </r>
  <r>
    <x v="43"/>
    <x v="0"/>
    <s v="2025-03-02"/>
    <x v="4"/>
    <s v="Explore the latest image on Myntra! Trendy styles await."/>
    <n v="2358"/>
    <n v="784"/>
    <n v="344"/>
    <n v="35370"/>
    <n v="34475"/>
    <n v="216"/>
    <x v="0"/>
    <x v="0"/>
    <x v="4"/>
    <x v="43"/>
  </r>
  <r>
    <x v="44"/>
    <x v="3"/>
    <s v="2024-11-01"/>
    <x v="5"/>
    <s v="Explore the latest video on Myntra! Trendy styles await."/>
    <n v="3371"/>
    <n v="106"/>
    <n v="327"/>
    <n v="50565"/>
    <n v="49816"/>
    <n v="176"/>
    <x v="3"/>
    <x v="4"/>
    <x v="0"/>
    <x v="44"/>
  </r>
  <r>
    <x v="45"/>
    <x v="0"/>
    <s v="2025-05-02"/>
    <x v="5"/>
    <s v="Explore the latest video on Myntra! Trendy styles await."/>
    <n v="1108"/>
    <n v="177"/>
    <n v="212"/>
    <n v="8864"/>
    <n v="8710"/>
    <n v="97"/>
    <x v="3"/>
    <x v="1"/>
    <x v="0"/>
    <x v="45"/>
  </r>
  <r>
    <x v="46"/>
    <x v="0"/>
    <s v="2025-02-24"/>
    <x v="3"/>
    <s v="Explore the latest carousel on Myntra! Trendy styles await."/>
    <n v="2704"/>
    <n v="752"/>
    <n v="153"/>
    <n v="21632"/>
    <n v="20792"/>
    <n v="127"/>
    <x v="0"/>
    <x v="4"/>
    <x v="2"/>
    <x v="46"/>
  </r>
  <r>
    <x v="47"/>
    <x v="0"/>
    <s v="2025-03-11"/>
    <x v="2"/>
    <s v="Explore the latest story on Myntra! Trendy styles await."/>
    <n v="1950"/>
    <n v="295"/>
    <n v="478"/>
    <n v="37050"/>
    <n v="36272"/>
    <n v="119"/>
    <x v="3"/>
    <x v="1"/>
    <x v="4"/>
    <x v="47"/>
  </r>
  <r>
    <x v="48"/>
    <x v="0"/>
    <s v="2024-06-10"/>
    <x v="2"/>
    <s v="Explore the latest story on Myntra! Trendy styles await."/>
    <n v="2164"/>
    <n v="549"/>
    <n v="274"/>
    <n v="28132"/>
    <n v="27361"/>
    <n v="177"/>
    <x v="0"/>
    <x v="2"/>
    <x v="0"/>
    <x v="48"/>
  </r>
  <r>
    <x v="49"/>
    <x v="1"/>
    <s v="2024-07-03"/>
    <x v="2"/>
    <s v="Explore the latest story on Myntra! Trendy styles await."/>
    <n v="2754"/>
    <n v="130"/>
    <n v="90"/>
    <n v="22032"/>
    <n v="21288"/>
    <n v="112"/>
    <x v="0"/>
    <x v="1"/>
    <x v="0"/>
    <x v="49"/>
  </r>
  <r>
    <x v="50"/>
    <x v="3"/>
    <s v="2024-06-13"/>
    <x v="3"/>
    <s v="Explore the latest carousel on Myntra! Trendy styles await."/>
    <n v="2200"/>
    <n v="504"/>
    <n v="239"/>
    <n v="37400"/>
    <n v="36938"/>
    <n v="225"/>
    <x v="2"/>
    <x v="0"/>
    <x v="0"/>
    <x v="50"/>
  </r>
  <r>
    <x v="51"/>
    <x v="3"/>
    <s v="2025-01-03"/>
    <x v="4"/>
    <s v="Explore the latest image on Myntra! Trendy styles await."/>
    <n v="947"/>
    <n v="338"/>
    <n v="350"/>
    <n v="10417"/>
    <n v="9730"/>
    <n v="34"/>
    <x v="2"/>
    <x v="1"/>
    <x v="1"/>
    <x v="51"/>
  </r>
  <r>
    <x v="52"/>
    <x v="1"/>
    <s v="2025-02-24"/>
    <x v="3"/>
    <s v="Explore the latest carousel on Myntra! Trendy styles await."/>
    <n v="804"/>
    <n v="639"/>
    <n v="43"/>
    <n v="4020"/>
    <n v="3144"/>
    <n v="11"/>
    <x v="3"/>
    <x v="2"/>
    <x v="5"/>
    <x v="52"/>
  </r>
  <r>
    <x v="53"/>
    <x v="1"/>
    <s v="2025-03-13"/>
    <x v="3"/>
    <s v="Explore the latest carousel on Myntra! Trendy styles await."/>
    <n v="1686"/>
    <n v="904"/>
    <n v="472"/>
    <n v="18546"/>
    <n v="18171"/>
    <n v="52"/>
    <x v="1"/>
    <x v="1"/>
    <x v="3"/>
    <x v="53"/>
  </r>
  <r>
    <x v="54"/>
    <x v="3"/>
    <s v="2024-06-17"/>
    <x v="4"/>
    <s v="Explore the latest image on Myntra! Trendy styles await."/>
    <n v="1226"/>
    <n v="119"/>
    <n v="7"/>
    <n v="14712"/>
    <n v="14049"/>
    <n v="123"/>
    <x v="3"/>
    <x v="0"/>
    <x v="5"/>
    <x v="54"/>
  </r>
  <r>
    <x v="55"/>
    <x v="3"/>
    <s v="2024-12-18"/>
    <x v="3"/>
    <s v="Explore the latest carousel on Myntra! Trendy styles await."/>
    <n v="2946"/>
    <n v="498"/>
    <n v="367"/>
    <n v="29460"/>
    <n v="28527"/>
    <n v="60"/>
    <x v="1"/>
    <x v="2"/>
    <x v="3"/>
    <x v="55"/>
  </r>
  <r>
    <x v="56"/>
    <x v="0"/>
    <s v="2024-10-21"/>
    <x v="5"/>
    <s v="Explore the latest video on Myntra! Trendy styles await."/>
    <n v="2825"/>
    <n v="535"/>
    <n v="295"/>
    <n v="45200"/>
    <n v="44739"/>
    <n v="169"/>
    <x v="1"/>
    <x v="2"/>
    <x v="0"/>
    <x v="56"/>
  </r>
  <r>
    <x v="57"/>
    <x v="2"/>
    <s v="2025-04-15"/>
    <x v="0"/>
    <s v="Explore the latest reel on Myntra! Trendy styles await."/>
    <n v="103"/>
    <n v="770"/>
    <n v="19"/>
    <n v="1030"/>
    <n v="410"/>
    <n v="262"/>
    <x v="2"/>
    <x v="0"/>
    <x v="0"/>
    <x v="57"/>
  </r>
  <r>
    <x v="58"/>
    <x v="2"/>
    <s v="2024-06-22"/>
    <x v="1"/>
    <s v="Explore the latest text on Myntra! Trendy styles await."/>
    <n v="2180"/>
    <n v="263"/>
    <n v="387"/>
    <n v="30520"/>
    <n v="30059"/>
    <n v="174"/>
    <x v="0"/>
    <x v="4"/>
    <x v="0"/>
    <x v="58"/>
  </r>
  <r>
    <x v="59"/>
    <x v="2"/>
    <s v="2025-01-28"/>
    <x v="5"/>
    <s v="Explore the latest video on Myntra! Trendy styles await."/>
    <n v="904"/>
    <n v="973"/>
    <n v="63"/>
    <n v="11752"/>
    <n v="11580"/>
    <n v="84"/>
    <x v="0"/>
    <x v="2"/>
    <x v="0"/>
    <x v="59"/>
  </r>
  <r>
    <x v="60"/>
    <x v="0"/>
    <s v="2024-09-05"/>
    <x v="5"/>
    <s v="Explore the latest video on Myntra! Trendy styles await."/>
    <n v="4886"/>
    <n v="983"/>
    <n v="409"/>
    <n v="43974"/>
    <n v="43239"/>
    <n v="65"/>
    <x v="0"/>
    <x v="1"/>
    <x v="0"/>
    <x v="60"/>
  </r>
  <r>
    <x v="61"/>
    <x v="0"/>
    <s v="2024-11-22"/>
    <x v="3"/>
    <s v="Explore the latest carousel on Myntra! Trendy styles await."/>
    <n v="53"/>
    <n v="81"/>
    <n v="379"/>
    <n v="954"/>
    <n v="7"/>
    <n v="148"/>
    <x v="2"/>
    <x v="4"/>
    <x v="0"/>
    <x v="61"/>
  </r>
  <r>
    <x v="62"/>
    <x v="0"/>
    <s v="2024-07-31"/>
    <x v="3"/>
    <s v="Explore the latest carousel on Myntra! Trendy styles await."/>
    <n v="4507"/>
    <n v="217"/>
    <n v="13"/>
    <n v="90140"/>
    <n v="89591"/>
    <n v="125"/>
    <x v="0"/>
    <x v="0"/>
    <x v="0"/>
    <x v="62"/>
  </r>
  <r>
    <x v="63"/>
    <x v="3"/>
    <s v="2024-08-17"/>
    <x v="4"/>
    <s v="Explore the latest image on Myntra! Trendy styles await."/>
    <n v="2878"/>
    <n v="248"/>
    <n v="416"/>
    <n v="43170"/>
    <n v="42667"/>
    <n v="75"/>
    <x v="1"/>
    <x v="4"/>
    <x v="5"/>
    <x v="63"/>
  </r>
  <r>
    <x v="64"/>
    <x v="2"/>
    <s v="2025-03-28"/>
    <x v="2"/>
    <s v="Explore the latest story on Myntra! Trendy styles await."/>
    <n v="1881"/>
    <n v="501"/>
    <n v="99"/>
    <n v="20691"/>
    <n v="19987"/>
    <n v="289"/>
    <x v="1"/>
    <x v="4"/>
    <x v="0"/>
    <x v="64"/>
  </r>
  <r>
    <x v="65"/>
    <x v="0"/>
    <s v="2024-07-26"/>
    <x v="3"/>
    <s v="Explore the latest carousel on Myntra! Trendy styles await."/>
    <n v="432"/>
    <n v="171"/>
    <n v="280"/>
    <n v="3024"/>
    <n v="2285"/>
    <n v="184"/>
    <x v="2"/>
    <x v="1"/>
    <x v="0"/>
    <x v="65"/>
  </r>
  <r>
    <x v="66"/>
    <x v="3"/>
    <s v="2025-03-29"/>
    <x v="3"/>
    <s v="Explore the latest carousel on Myntra! Trendy styles await."/>
    <n v="4712"/>
    <n v="568"/>
    <n v="127"/>
    <n v="84816"/>
    <n v="84691"/>
    <n v="100"/>
    <x v="0"/>
    <x v="4"/>
    <x v="0"/>
    <x v="66"/>
  </r>
  <r>
    <x v="67"/>
    <x v="2"/>
    <s v="2024-12-08"/>
    <x v="2"/>
    <s v="Explore the latest story on Myntra! Trendy styles await."/>
    <n v="2610"/>
    <n v="126"/>
    <n v="288"/>
    <n v="15660"/>
    <n v="15145"/>
    <n v="73"/>
    <x v="0"/>
    <x v="1"/>
    <x v="0"/>
    <x v="67"/>
  </r>
  <r>
    <x v="68"/>
    <x v="0"/>
    <s v="2025-03-08"/>
    <x v="1"/>
    <s v="Explore the latest text on Myntra! Trendy styles await."/>
    <n v="1292"/>
    <n v="626"/>
    <n v="496"/>
    <n v="25840"/>
    <n v="24916"/>
    <n v="149"/>
    <x v="3"/>
    <x v="2"/>
    <x v="5"/>
    <x v="68"/>
  </r>
  <r>
    <x v="69"/>
    <x v="3"/>
    <s v="2025-04-02"/>
    <x v="5"/>
    <s v="Explore the latest video on Myntra! Trendy styles await."/>
    <n v="199"/>
    <n v="772"/>
    <n v="400"/>
    <n v="3582"/>
    <n v="2988"/>
    <n v="43"/>
    <x v="0"/>
    <x v="3"/>
    <x v="0"/>
    <x v="69"/>
  </r>
  <r>
    <x v="70"/>
    <x v="1"/>
    <s v="2024-09-02"/>
    <x v="3"/>
    <s v="Explore the latest carousel on Myntra! Trendy styles await."/>
    <n v="2551"/>
    <n v="915"/>
    <n v="205"/>
    <n v="30612"/>
    <n v="30360"/>
    <n v="227"/>
    <x v="1"/>
    <x v="0"/>
    <x v="3"/>
    <x v="70"/>
  </r>
  <r>
    <x v="71"/>
    <x v="1"/>
    <s v="2025-03-03"/>
    <x v="0"/>
    <s v="Explore the latest reel on Myntra! Trendy styles await."/>
    <n v="296"/>
    <n v="60"/>
    <n v="141"/>
    <n v="5624"/>
    <n v="5239"/>
    <n v="88"/>
    <x v="3"/>
    <x v="3"/>
    <x v="0"/>
    <x v="71"/>
  </r>
  <r>
    <x v="72"/>
    <x v="3"/>
    <s v="2024-10-18"/>
    <x v="2"/>
    <s v="Explore the latest story on Myntra! Trendy styles await."/>
    <n v="4126"/>
    <n v="426"/>
    <n v="486"/>
    <n v="78394"/>
    <n v="77798"/>
    <n v="88"/>
    <x v="0"/>
    <x v="1"/>
    <x v="0"/>
    <x v="72"/>
  </r>
  <r>
    <x v="73"/>
    <x v="1"/>
    <s v="2024-10-28"/>
    <x v="0"/>
    <s v="Explore the latest reel on Myntra! Trendy styles await."/>
    <n v="1855"/>
    <n v="200"/>
    <n v="174"/>
    <n v="16695"/>
    <n v="16330"/>
    <n v="123"/>
    <x v="2"/>
    <x v="1"/>
    <x v="0"/>
    <x v="73"/>
  </r>
  <r>
    <x v="74"/>
    <x v="2"/>
    <s v="2024-08-01"/>
    <x v="0"/>
    <s v="Explore the latest reel on Myntra! Trendy styles await."/>
    <n v="1674"/>
    <n v="929"/>
    <n v="37"/>
    <n v="21762"/>
    <n v="20998"/>
    <n v="255"/>
    <x v="2"/>
    <x v="2"/>
    <x v="3"/>
    <x v="74"/>
  </r>
  <r>
    <x v="75"/>
    <x v="0"/>
    <s v="2024-11-07"/>
    <x v="2"/>
    <s v="Explore the latest story on Myntra! Trendy styles await."/>
    <n v="1121"/>
    <n v="135"/>
    <n v="18"/>
    <n v="15694"/>
    <n v="14957"/>
    <n v="99"/>
    <x v="3"/>
    <x v="0"/>
    <x v="2"/>
    <x v="75"/>
  </r>
  <r>
    <x v="76"/>
    <x v="3"/>
    <s v="2025-03-04"/>
    <x v="2"/>
    <s v="Explore the latest story on Myntra! Trendy styles await."/>
    <n v="1249"/>
    <n v="116"/>
    <n v="420"/>
    <n v="8743"/>
    <n v="8538"/>
    <n v="63"/>
    <x v="2"/>
    <x v="1"/>
    <x v="3"/>
    <x v="76"/>
  </r>
  <r>
    <x v="77"/>
    <x v="0"/>
    <s v="2024-06-17"/>
    <x v="4"/>
    <s v="Explore the latest image on Myntra! Trendy styles await."/>
    <n v="954"/>
    <n v="324"/>
    <n v="288"/>
    <n v="19080"/>
    <n v="18859"/>
    <n v="21"/>
    <x v="2"/>
    <x v="3"/>
    <x v="0"/>
    <x v="77"/>
  </r>
  <r>
    <x v="78"/>
    <x v="2"/>
    <s v="2024-10-09"/>
    <x v="3"/>
    <s v="Explore the latest carousel on Myntra! Trendy styles await."/>
    <n v="3068"/>
    <n v="137"/>
    <n v="329"/>
    <n v="39884"/>
    <n v="39404"/>
    <n v="266"/>
    <x v="2"/>
    <x v="0"/>
    <x v="5"/>
    <x v="78"/>
  </r>
  <r>
    <x v="79"/>
    <x v="2"/>
    <s v="2024-06-13"/>
    <x v="2"/>
    <s v="Explore the latest story on Myntra! Trendy styles await."/>
    <n v="2103"/>
    <n v="892"/>
    <n v="103"/>
    <n v="39957"/>
    <n v="39466"/>
    <n v="28"/>
    <x v="1"/>
    <x v="4"/>
    <x v="2"/>
    <x v="79"/>
  </r>
  <r>
    <x v="80"/>
    <x v="2"/>
    <s v="2024-10-19"/>
    <x v="2"/>
    <s v="Explore the latest story on Myntra! Trendy styles await."/>
    <n v="1816"/>
    <n v="29"/>
    <n v="41"/>
    <n v="19976"/>
    <n v="19262"/>
    <n v="283"/>
    <x v="2"/>
    <x v="3"/>
    <x v="1"/>
    <x v="80"/>
  </r>
  <r>
    <x v="81"/>
    <x v="2"/>
    <s v="2024-07-24"/>
    <x v="4"/>
    <s v="Explore the latest image on Myntra! Trendy styles await."/>
    <n v="725"/>
    <n v="88"/>
    <n v="428"/>
    <n v="14500"/>
    <n v="13637"/>
    <n v="200"/>
    <x v="2"/>
    <x v="3"/>
    <x v="0"/>
    <x v="81"/>
  </r>
  <r>
    <x v="82"/>
    <x v="1"/>
    <s v="2024-10-15"/>
    <x v="5"/>
    <s v="Explore the latest video on Myntra! Trendy styles await."/>
    <n v="1094"/>
    <n v="472"/>
    <n v="21"/>
    <n v="9846"/>
    <n v="9609"/>
    <n v="112"/>
    <x v="2"/>
    <x v="3"/>
    <x v="4"/>
    <x v="82"/>
  </r>
  <r>
    <x v="83"/>
    <x v="3"/>
    <s v="2024-12-09"/>
    <x v="4"/>
    <s v="Explore the latest image on Myntra! Trendy styles await."/>
    <n v="1841"/>
    <n v="851"/>
    <n v="342"/>
    <n v="34979"/>
    <n v="34154"/>
    <n v="255"/>
    <x v="0"/>
    <x v="1"/>
    <x v="3"/>
    <x v="83"/>
  </r>
  <r>
    <x v="84"/>
    <x v="2"/>
    <s v="2025-04-19"/>
    <x v="4"/>
    <s v="Explore the latest image on Myntra! Trendy styles await."/>
    <n v="4177"/>
    <n v="569"/>
    <n v="55"/>
    <n v="25062"/>
    <n v="24847"/>
    <n v="230"/>
    <x v="0"/>
    <x v="1"/>
    <x v="0"/>
    <x v="84"/>
  </r>
  <r>
    <x v="85"/>
    <x v="1"/>
    <s v="2025-01-27"/>
    <x v="1"/>
    <s v="Explore the latest text on Myntra! Trendy styles await."/>
    <n v="3428"/>
    <n v="305"/>
    <n v="85"/>
    <n v="58276"/>
    <n v="58052"/>
    <n v="242"/>
    <x v="2"/>
    <x v="3"/>
    <x v="4"/>
    <x v="85"/>
  </r>
  <r>
    <x v="86"/>
    <x v="0"/>
    <s v="2024-06-06"/>
    <x v="5"/>
    <s v="Explore the latest video on Myntra! Trendy styles await."/>
    <n v="1436"/>
    <n v="765"/>
    <n v="496"/>
    <n v="12924"/>
    <n v="12701"/>
    <n v="197"/>
    <x v="1"/>
    <x v="3"/>
    <x v="1"/>
    <x v="86"/>
  </r>
  <r>
    <x v="87"/>
    <x v="3"/>
    <s v="2024-07-07"/>
    <x v="2"/>
    <s v="Explore the latest story on Myntra! Trendy styles await."/>
    <n v="302"/>
    <n v="47"/>
    <n v="430"/>
    <n v="5738"/>
    <n v="4890"/>
    <n v="25"/>
    <x v="1"/>
    <x v="1"/>
    <x v="1"/>
    <x v="87"/>
  </r>
  <r>
    <x v="88"/>
    <x v="0"/>
    <s v="2025-01-10"/>
    <x v="4"/>
    <s v="Explore the latest image on Myntra! Trendy styles await."/>
    <n v="2214"/>
    <n v="249"/>
    <n v="152"/>
    <n v="15498"/>
    <n v="14800"/>
    <n v="180"/>
    <x v="1"/>
    <x v="0"/>
    <x v="0"/>
    <x v="88"/>
  </r>
  <r>
    <x v="89"/>
    <x v="2"/>
    <s v="2024-06-03"/>
    <x v="4"/>
    <s v="Explore the latest image on Myntra! Trendy styles await."/>
    <n v="3861"/>
    <n v="960"/>
    <n v="101"/>
    <n v="69498"/>
    <n v="68817"/>
    <n v="297"/>
    <x v="1"/>
    <x v="1"/>
    <x v="0"/>
    <x v="89"/>
  </r>
  <r>
    <x v="90"/>
    <x v="3"/>
    <s v="2025-03-24"/>
    <x v="4"/>
    <s v="Explore the latest image on Myntra! Trendy styles await."/>
    <n v="1263"/>
    <n v="397"/>
    <n v="357"/>
    <n v="25260"/>
    <n v="24615"/>
    <n v="137"/>
    <x v="1"/>
    <x v="0"/>
    <x v="0"/>
    <x v="90"/>
  </r>
  <r>
    <x v="91"/>
    <x v="0"/>
    <s v="2024-10-21"/>
    <x v="2"/>
    <s v="Explore the latest story on Myntra! Trendy styles await."/>
    <n v="3801"/>
    <n v="967"/>
    <n v="401"/>
    <n v="38010"/>
    <n v="37625"/>
    <n v="236"/>
    <x v="3"/>
    <x v="2"/>
    <x v="0"/>
    <x v="91"/>
  </r>
  <r>
    <x v="92"/>
    <x v="2"/>
    <s v="2024-12-11"/>
    <x v="5"/>
    <s v="Explore the latest video on Myntra! Trendy styles await."/>
    <n v="1431"/>
    <n v="951"/>
    <n v="26"/>
    <n v="8586"/>
    <n v="8396"/>
    <n v="150"/>
    <x v="0"/>
    <x v="3"/>
    <x v="3"/>
    <x v="92"/>
  </r>
  <r>
    <x v="93"/>
    <x v="2"/>
    <s v="2024-11-07"/>
    <x v="4"/>
    <s v="Explore the latest image on Myntra! Trendy styles await."/>
    <n v="2647"/>
    <n v="304"/>
    <n v="170"/>
    <n v="18529"/>
    <n v="17841"/>
    <n v="46"/>
    <x v="1"/>
    <x v="2"/>
    <x v="0"/>
    <x v="93"/>
  </r>
  <r>
    <x v="94"/>
    <x v="2"/>
    <s v="2024-11-08"/>
    <x v="1"/>
    <s v="Explore the latest text on Myntra! Trendy styles await."/>
    <n v="3182"/>
    <n v="559"/>
    <n v="160"/>
    <n v="57276"/>
    <n v="56890"/>
    <n v="163"/>
    <x v="1"/>
    <x v="2"/>
    <x v="5"/>
    <x v="94"/>
  </r>
  <r>
    <x v="95"/>
    <x v="0"/>
    <s v="2024-09-10"/>
    <x v="4"/>
    <s v="Explore the latest image on Myntra! Trendy styles await."/>
    <n v="1238"/>
    <n v="366"/>
    <n v="444"/>
    <n v="19808"/>
    <n v="19334"/>
    <n v="123"/>
    <x v="2"/>
    <x v="4"/>
    <x v="0"/>
    <x v="95"/>
  </r>
  <r>
    <x v="96"/>
    <x v="2"/>
    <s v="2024-08-13"/>
    <x v="4"/>
    <s v="Explore the latest image on Myntra! Trendy styles await."/>
    <n v="4739"/>
    <n v="527"/>
    <n v="135"/>
    <n v="61607"/>
    <n v="61333"/>
    <n v="36"/>
    <x v="1"/>
    <x v="2"/>
    <x v="1"/>
    <x v="96"/>
  </r>
  <r>
    <x v="97"/>
    <x v="0"/>
    <s v="2024-06-10"/>
    <x v="2"/>
    <s v="Explore the latest story on Myntra! Trendy styles await."/>
    <n v="1575"/>
    <n v="771"/>
    <n v="486"/>
    <n v="25200"/>
    <n v="24826"/>
    <n v="17"/>
    <x v="2"/>
    <x v="2"/>
    <x v="0"/>
    <x v="97"/>
  </r>
  <r>
    <x v="98"/>
    <x v="1"/>
    <s v="2024-07-02"/>
    <x v="3"/>
    <s v="Explore the latest carousel on Myntra! Trendy styles await."/>
    <n v="4171"/>
    <n v="548"/>
    <n v="86"/>
    <n v="66736"/>
    <n v="66634"/>
    <n v="173"/>
    <x v="2"/>
    <x v="2"/>
    <x v="0"/>
    <x v="98"/>
  </r>
  <r>
    <x v="99"/>
    <x v="1"/>
    <s v="2025-02-10"/>
    <x v="5"/>
    <s v="Explore the latest video on Myntra! Trendy styles await."/>
    <n v="1766"/>
    <n v="92"/>
    <n v="424"/>
    <n v="24724"/>
    <n v="24333"/>
    <n v="52"/>
    <x v="0"/>
    <x v="2"/>
    <x v="0"/>
    <x v="99"/>
  </r>
  <r>
    <x v="100"/>
    <x v="1"/>
    <s v="2024-10-18"/>
    <x v="5"/>
    <s v="Explore the latest video on Myntra! Trendy styles await."/>
    <n v="4450"/>
    <n v="983"/>
    <n v="143"/>
    <n v="75650"/>
    <n v="75008"/>
    <n v="12"/>
    <x v="1"/>
    <x v="0"/>
    <x v="4"/>
    <x v="100"/>
  </r>
  <r>
    <x v="101"/>
    <x v="0"/>
    <s v="2024-09-18"/>
    <x v="0"/>
    <s v="Explore the latest reel on Myntra! Trendy styles await."/>
    <n v="1000"/>
    <n v="978"/>
    <n v="162"/>
    <n v="6000"/>
    <n v="5221"/>
    <n v="223"/>
    <x v="2"/>
    <x v="3"/>
    <x v="2"/>
    <x v="101"/>
  </r>
  <r>
    <x v="102"/>
    <x v="3"/>
    <s v="2024-06-11"/>
    <x v="4"/>
    <s v="Explore the latest image on Myntra! Trendy styles await."/>
    <n v="3689"/>
    <n v="48"/>
    <n v="306"/>
    <n v="40579"/>
    <n v="39588"/>
    <n v="212"/>
    <x v="0"/>
    <x v="3"/>
    <x v="0"/>
    <x v="102"/>
  </r>
  <r>
    <x v="103"/>
    <x v="1"/>
    <s v="2025-03-23"/>
    <x v="2"/>
    <s v="Explore the latest story on Myntra! Trendy styles await."/>
    <n v="3655"/>
    <n v="568"/>
    <n v="286"/>
    <n v="32895"/>
    <n v="32015"/>
    <n v="199"/>
    <x v="3"/>
    <x v="3"/>
    <x v="0"/>
    <x v="103"/>
  </r>
  <r>
    <x v="104"/>
    <x v="2"/>
    <s v="2024-06-14"/>
    <x v="3"/>
    <s v="Explore the latest carousel on Myntra! Trendy styles await."/>
    <n v="498"/>
    <n v="38"/>
    <n v="42"/>
    <n v="4482"/>
    <n v="3647"/>
    <n v="32"/>
    <x v="3"/>
    <x v="2"/>
    <x v="3"/>
    <x v="104"/>
  </r>
  <r>
    <x v="105"/>
    <x v="2"/>
    <s v="2025-02-04"/>
    <x v="4"/>
    <s v="Explore the latest image on Myntra! Trendy styles await."/>
    <n v="4619"/>
    <n v="821"/>
    <n v="499"/>
    <n v="69285"/>
    <n v="69141"/>
    <n v="298"/>
    <x v="0"/>
    <x v="1"/>
    <x v="0"/>
    <x v="105"/>
  </r>
  <r>
    <x v="106"/>
    <x v="1"/>
    <s v="2024-06-21"/>
    <x v="4"/>
    <s v="Explore the latest image on Myntra! Trendy styles await."/>
    <n v="4832"/>
    <n v="893"/>
    <n v="10"/>
    <n v="91808"/>
    <n v="91296"/>
    <n v="182"/>
    <x v="2"/>
    <x v="0"/>
    <x v="4"/>
    <x v="106"/>
  </r>
  <r>
    <x v="107"/>
    <x v="0"/>
    <s v="2025-03-25"/>
    <x v="5"/>
    <s v="Explore the latest video on Myntra! Trendy styles await."/>
    <n v="4050"/>
    <n v="871"/>
    <n v="347"/>
    <n v="52650"/>
    <n v="51755"/>
    <n v="209"/>
    <x v="0"/>
    <x v="2"/>
    <x v="3"/>
    <x v="107"/>
  </r>
  <r>
    <x v="108"/>
    <x v="0"/>
    <s v="2024-08-08"/>
    <x v="2"/>
    <s v="Explore the latest story on Myntra! Trendy styles await."/>
    <n v="3649"/>
    <n v="215"/>
    <n v="413"/>
    <n v="25543"/>
    <n v="24963"/>
    <n v="167"/>
    <x v="0"/>
    <x v="1"/>
    <x v="4"/>
    <x v="108"/>
  </r>
  <r>
    <x v="109"/>
    <x v="2"/>
    <s v="2024-07-29"/>
    <x v="0"/>
    <s v="Explore the latest reel on Myntra! Trendy styles await."/>
    <n v="3523"/>
    <n v="753"/>
    <n v="482"/>
    <n v="38753"/>
    <n v="38579"/>
    <n v="270"/>
    <x v="1"/>
    <x v="4"/>
    <x v="4"/>
    <x v="109"/>
  </r>
  <r>
    <x v="110"/>
    <x v="1"/>
    <s v="2024-11-23"/>
    <x v="4"/>
    <s v="Explore the latest image on Myntra! Trendy styles await."/>
    <n v="2719"/>
    <n v="17"/>
    <n v="285"/>
    <n v="40785"/>
    <n v="40281"/>
    <n v="40"/>
    <x v="2"/>
    <x v="1"/>
    <x v="4"/>
    <x v="110"/>
  </r>
  <r>
    <x v="111"/>
    <x v="0"/>
    <s v="2024-10-05"/>
    <x v="2"/>
    <s v="Explore the latest story on Myntra! Trendy styles await."/>
    <n v="1957"/>
    <n v="877"/>
    <n v="238"/>
    <n v="17613"/>
    <n v="16865"/>
    <n v="297"/>
    <x v="2"/>
    <x v="1"/>
    <x v="1"/>
    <x v="111"/>
  </r>
  <r>
    <x v="112"/>
    <x v="0"/>
    <s v="2024-10-02"/>
    <x v="3"/>
    <s v="Explore the latest carousel on Myntra! Trendy styles await."/>
    <n v="4419"/>
    <n v="236"/>
    <n v="369"/>
    <n v="44190"/>
    <n v="43582"/>
    <n v="10"/>
    <x v="3"/>
    <x v="3"/>
    <x v="0"/>
    <x v="112"/>
  </r>
  <r>
    <x v="113"/>
    <x v="0"/>
    <s v="2024-11-14"/>
    <x v="2"/>
    <s v="Explore the latest story on Myntra! Trendy styles await."/>
    <n v="4000"/>
    <n v="689"/>
    <n v="488"/>
    <n v="40000"/>
    <n v="39569"/>
    <n v="44"/>
    <x v="2"/>
    <x v="4"/>
    <x v="2"/>
    <x v="113"/>
  </r>
  <r>
    <x v="114"/>
    <x v="0"/>
    <s v="2025-05-11"/>
    <x v="4"/>
    <s v="Explore the latest image on Myntra! Trendy styles await."/>
    <n v="2493"/>
    <n v="97"/>
    <n v="44"/>
    <n v="42381"/>
    <n v="41991"/>
    <n v="242"/>
    <x v="0"/>
    <x v="0"/>
    <x v="4"/>
    <x v="114"/>
  </r>
  <r>
    <x v="115"/>
    <x v="1"/>
    <s v="2025-03-18"/>
    <x v="0"/>
    <s v="Explore the latest reel on Myntra! Trendy styles await."/>
    <n v="3704"/>
    <n v="186"/>
    <n v="458"/>
    <n v="25928"/>
    <n v="25081"/>
    <n v="131"/>
    <x v="0"/>
    <x v="2"/>
    <x v="0"/>
    <x v="115"/>
  </r>
  <r>
    <x v="116"/>
    <x v="0"/>
    <s v="2024-11-04"/>
    <x v="4"/>
    <s v="Explore the latest image on Myntra! Trendy styles await."/>
    <n v="1606"/>
    <n v="451"/>
    <n v="405"/>
    <n v="20878"/>
    <n v="20190"/>
    <n v="219"/>
    <x v="1"/>
    <x v="0"/>
    <x v="4"/>
    <x v="116"/>
  </r>
  <r>
    <x v="117"/>
    <x v="3"/>
    <s v="2024-11-04"/>
    <x v="4"/>
    <s v="Explore the latest image on Myntra! Trendy styles await."/>
    <n v="4551"/>
    <n v="714"/>
    <n v="207"/>
    <n v="68265"/>
    <n v="67754"/>
    <n v="57"/>
    <x v="1"/>
    <x v="3"/>
    <x v="0"/>
    <x v="117"/>
  </r>
  <r>
    <x v="118"/>
    <x v="2"/>
    <s v="2025-02-07"/>
    <x v="0"/>
    <s v="Explore the latest reel on Myntra! Trendy styles await."/>
    <n v="1970"/>
    <n v="675"/>
    <n v="478"/>
    <n v="9850"/>
    <n v="8924"/>
    <n v="117"/>
    <x v="3"/>
    <x v="3"/>
    <x v="0"/>
    <x v="118"/>
  </r>
  <r>
    <x v="119"/>
    <x v="3"/>
    <s v="2024-10-21"/>
    <x v="2"/>
    <s v="Explore the latest story on Myntra! Trendy styles await."/>
    <n v="780"/>
    <n v="928"/>
    <n v="301"/>
    <n v="8580"/>
    <n v="8081"/>
    <n v="91"/>
    <x v="3"/>
    <x v="0"/>
    <x v="2"/>
    <x v="119"/>
  </r>
  <r>
    <x v="120"/>
    <x v="2"/>
    <s v="2024-07-29"/>
    <x v="2"/>
    <s v="Explore the latest story on Myntra! Trendy styles await."/>
    <n v="498"/>
    <n v="701"/>
    <n v="412"/>
    <n v="4980"/>
    <n v="4185"/>
    <n v="185"/>
    <x v="3"/>
    <x v="4"/>
    <x v="4"/>
    <x v="120"/>
  </r>
  <r>
    <x v="121"/>
    <x v="2"/>
    <s v="2024-10-02"/>
    <x v="1"/>
    <s v="Explore the latest text on Myntra! Trendy styles await."/>
    <n v="3432"/>
    <n v="869"/>
    <n v="123"/>
    <n v="54912"/>
    <n v="53916"/>
    <n v="264"/>
    <x v="1"/>
    <x v="1"/>
    <x v="5"/>
    <x v="121"/>
  </r>
  <r>
    <x v="122"/>
    <x v="2"/>
    <s v="2024-06-14"/>
    <x v="2"/>
    <s v="Explore the latest story on Myntra! Trendy styles await."/>
    <n v="4363"/>
    <n v="649"/>
    <n v="140"/>
    <n v="21815"/>
    <n v="21481"/>
    <n v="157"/>
    <x v="1"/>
    <x v="0"/>
    <x v="2"/>
    <x v="122"/>
  </r>
  <r>
    <x v="123"/>
    <x v="1"/>
    <s v="2025-04-06"/>
    <x v="3"/>
    <s v="Explore the latest carousel on Myntra! Trendy styles await."/>
    <n v="736"/>
    <n v="771"/>
    <n v="225"/>
    <n v="5152"/>
    <n v="4706"/>
    <n v="19"/>
    <x v="2"/>
    <x v="2"/>
    <x v="0"/>
    <x v="123"/>
  </r>
  <r>
    <x v="124"/>
    <x v="0"/>
    <s v="2024-09-08"/>
    <x v="3"/>
    <s v="Explore the latest carousel on Myntra! Trendy styles await."/>
    <n v="3811"/>
    <n v="866"/>
    <n v="216"/>
    <n v="34299"/>
    <n v="34088"/>
    <n v="233"/>
    <x v="2"/>
    <x v="2"/>
    <x v="0"/>
    <x v="124"/>
  </r>
  <r>
    <x v="125"/>
    <x v="2"/>
    <s v="2025-03-28"/>
    <x v="3"/>
    <s v="Explore the latest carousel on Myntra! Trendy styles await."/>
    <n v="4158"/>
    <n v="167"/>
    <n v="241"/>
    <n v="45738"/>
    <n v="45183"/>
    <n v="142"/>
    <x v="1"/>
    <x v="1"/>
    <x v="0"/>
    <x v="125"/>
  </r>
  <r>
    <x v="126"/>
    <x v="3"/>
    <s v="2025-01-27"/>
    <x v="0"/>
    <s v="Explore the latest reel on Myntra! Trendy styles await."/>
    <n v="3452"/>
    <n v="652"/>
    <n v="442"/>
    <n v="65588"/>
    <n v="65049"/>
    <n v="158"/>
    <x v="0"/>
    <x v="0"/>
    <x v="4"/>
    <x v="126"/>
  </r>
  <r>
    <x v="127"/>
    <x v="0"/>
    <s v="2025-01-10"/>
    <x v="4"/>
    <s v="Explore the latest image on Myntra! Trendy styles await."/>
    <n v="3092"/>
    <n v="106"/>
    <n v="291"/>
    <n v="27828"/>
    <n v="27217"/>
    <n v="102"/>
    <x v="3"/>
    <x v="2"/>
    <x v="0"/>
    <x v="127"/>
  </r>
  <r>
    <x v="128"/>
    <x v="0"/>
    <s v="2024-07-21"/>
    <x v="1"/>
    <s v="Explore the latest text on Myntra! Trendy styles await."/>
    <n v="2147"/>
    <n v="430"/>
    <n v="393"/>
    <n v="17176"/>
    <n v="16483"/>
    <n v="170"/>
    <x v="3"/>
    <x v="4"/>
    <x v="0"/>
    <x v="128"/>
  </r>
  <r>
    <x v="129"/>
    <x v="1"/>
    <s v="2024-09-29"/>
    <x v="0"/>
    <s v="Explore the latest reel on Myntra! Trendy styles await."/>
    <n v="2936"/>
    <n v="439"/>
    <n v="44"/>
    <n v="38168"/>
    <n v="37571"/>
    <n v="22"/>
    <x v="2"/>
    <x v="0"/>
    <x v="0"/>
    <x v="129"/>
  </r>
  <r>
    <x v="130"/>
    <x v="2"/>
    <s v="2024-10-21"/>
    <x v="0"/>
    <s v="Explore the latest reel on Myntra! Trendy styles await."/>
    <n v="4840"/>
    <n v="658"/>
    <n v="211"/>
    <n v="43560"/>
    <n v="43225"/>
    <n v="57"/>
    <x v="1"/>
    <x v="0"/>
    <x v="2"/>
    <x v="130"/>
  </r>
  <r>
    <x v="131"/>
    <x v="2"/>
    <s v="2025-03-04"/>
    <x v="2"/>
    <s v="Explore the latest story on Myntra! Trendy styles await."/>
    <n v="1947"/>
    <n v="842"/>
    <n v="101"/>
    <n v="21417"/>
    <n v="20967"/>
    <n v="186"/>
    <x v="1"/>
    <x v="1"/>
    <x v="0"/>
    <x v="131"/>
  </r>
  <r>
    <x v="132"/>
    <x v="3"/>
    <s v="2025-02-06"/>
    <x v="4"/>
    <s v="Explore the latest image on Myntra! Trendy styles await."/>
    <n v="2072"/>
    <n v="532"/>
    <n v="71"/>
    <n v="37296"/>
    <n v="36467"/>
    <n v="25"/>
    <x v="2"/>
    <x v="0"/>
    <x v="0"/>
    <x v="132"/>
  </r>
  <r>
    <x v="133"/>
    <x v="0"/>
    <s v="2025-04-24"/>
    <x v="0"/>
    <s v="Explore the latest reel on Myntra! Trendy styles await."/>
    <n v="3731"/>
    <n v="115"/>
    <n v="135"/>
    <n v="55965"/>
    <n v="55436"/>
    <n v="103"/>
    <x v="3"/>
    <x v="4"/>
    <x v="0"/>
    <x v="133"/>
  </r>
  <r>
    <x v="134"/>
    <x v="3"/>
    <s v="2024-11-28"/>
    <x v="1"/>
    <s v="Explore the latest text on Myntra! Trendy styles await."/>
    <n v="4213"/>
    <n v="253"/>
    <n v="434"/>
    <n v="75834"/>
    <n v="75437"/>
    <n v="272"/>
    <x v="2"/>
    <x v="3"/>
    <x v="0"/>
    <x v="134"/>
  </r>
  <r>
    <x v="135"/>
    <x v="2"/>
    <s v="2024-07-11"/>
    <x v="1"/>
    <s v="Explore the latest text on Myntra! Trendy styles await."/>
    <n v="3134"/>
    <n v="888"/>
    <n v="444"/>
    <n v="21938"/>
    <n v="21337"/>
    <n v="130"/>
    <x v="3"/>
    <x v="0"/>
    <x v="2"/>
    <x v="135"/>
  </r>
  <r>
    <x v="136"/>
    <x v="3"/>
    <s v="2024-07-31"/>
    <x v="5"/>
    <s v="Explore the latest video on Myntra! Trendy styles await."/>
    <n v="3008"/>
    <n v="94"/>
    <n v="37"/>
    <n v="15040"/>
    <n v="14639"/>
    <n v="277"/>
    <x v="0"/>
    <x v="4"/>
    <x v="0"/>
    <x v="136"/>
  </r>
  <r>
    <x v="137"/>
    <x v="0"/>
    <s v="2025-03-29"/>
    <x v="4"/>
    <s v="Explore the latest image on Myntra! Trendy styles await."/>
    <n v="305"/>
    <n v="187"/>
    <n v="243"/>
    <n v="4575"/>
    <n v="3704"/>
    <n v="234"/>
    <x v="3"/>
    <x v="1"/>
    <x v="5"/>
    <x v="137"/>
  </r>
  <r>
    <x v="138"/>
    <x v="1"/>
    <s v="2024-10-29"/>
    <x v="1"/>
    <s v="Explore the latest text on Myntra! Trendy styles await."/>
    <n v="2746"/>
    <n v="156"/>
    <n v="203"/>
    <n v="32952"/>
    <n v="32147"/>
    <n v="147"/>
    <x v="1"/>
    <x v="1"/>
    <x v="4"/>
    <x v="138"/>
  </r>
  <r>
    <x v="139"/>
    <x v="3"/>
    <s v="2024-07-15"/>
    <x v="4"/>
    <s v="Explore the latest image on Myntra! Trendy styles await."/>
    <n v="2291"/>
    <n v="78"/>
    <n v="485"/>
    <n v="18328"/>
    <n v="18101"/>
    <n v="10"/>
    <x v="0"/>
    <x v="4"/>
    <x v="0"/>
    <x v="139"/>
  </r>
  <r>
    <x v="140"/>
    <x v="0"/>
    <s v="2024-08-31"/>
    <x v="4"/>
    <s v="Explore the latest image on Myntra! Trendy styles await."/>
    <n v="3170"/>
    <n v="857"/>
    <n v="379"/>
    <n v="19020"/>
    <n v="18559"/>
    <n v="240"/>
    <x v="2"/>
    <x v="0"/>
    <x v="0"/>
    <x v="140"/>
  </r>
  <r>
    <x v="141"/>
    <x v="1"/>
    <s v="2025-03-25"/>
    <x v="2"/>
    <s v="Explore the latest story on Myntra! Trendy styles await."/>
    <n v="2070"/>
    <n v="275"/>
    <n v="386"/>
    <n v="39330"/>
    <n v="38627"/>
    <n v="114"/>
    <x v="3"/>
    <x v="0"/>
    <x v="0"/>
    <x v="141"/>
  </r>
  <r>
    <x v="142"/>
    <x v="1"/>
    <s v="2024-10-02"/>
    <x v="3"/>
    <s v="Explore the latest carousel on Myntra! Trendy styles await."/>
    <n v="80"/>
    <n v="362"/>
    <n v="80"/>
    <n v="1040"/>
    <n v="349"/>
    <n v="117"/>
    <x v="1"/>
    <x v="1"/>
    <x v="4"/>
    <x v="142"/>
  </r>
  <r>
    <x v="143"/>
    <x v="1"/>
    <s v="2024-10-28"/>
    <x v="2"/>
    <s v="Explore the latest story on Myntra! Trendy styles await."/>
    <n v="4929"/>
    <n v="749"/>
    <n v="452"/>
    <n v="93651"/>
    <n v="92810"/>
    <n v="66"/>
    <x v="0"/>
    <x v="3"/>
    <x v="4"/>
    <x v="143"/>
  </r>
  <r>
    <x v="144"/>
    <x v="2"/>
    <s v="2024-08-12"/>
    <x v="3"/>
    <s v="Explore the latest carousel on Myntra! Trendy styles await."/>
    <n v="1878"/>
    <n v="62"/>
    <n v="179"/>
    <n v="37560"/>
    <n v="36874"/>
    <n v="142"/>
    <x v="0"/>
    <x v="4"/>
    <x v="5"/>
    <x v="144"/>
  </r>
  <r>
    <x v="145"/>
    <x v="1"/>
    <s v="2024-06-05"/>
    <x v="0"/>
    <s v="Explore the latest reel on Myntra! Trendy styles await."/>
    <n v="3065"/>
    <n v="772"/>
    <n v="142"/>
    <n v="18390"/>
    <n v="17875"/>
    <n v="200"/>
    <x v="0"/>
    <x v="2"/>
    <x v="0"/>
    <x v="145"/>
  </r>
  <r>
    <x v="146"/>
    <x v="2"/>
    <s v="2024-10-21"/>
    <x v="0"/>
    <s v="Explore the latest reel on Myntra! Trendy styles await."/>
    <n v="3256"/>
    <n v="459"/>
    <n v="266"/>
    <n v="26048"/>
    <n v="25529"/>
    <n v="143"/>
    <x v="2"/>
    <x v="0"/>
    <x v="4"/>
    <x v="146"/>
  </r>
  <r>
    <x v="147"/>
    <x v="2"/>
    <s v="2025-04-15"/>
    <x v="5"/>
    <s v="Explore the latest video on Myntra! Trendy styles await."/>
    <n v="4133"/>
    <n v="466"/>
    <n v="327"/>
    <n v="24798"/>
    <n v="24620"/>
    <n v="176"/>
    <x v="1"/>
    <x v="2"/>
    <x v="0"/>
    <x v="147"/>
  </r>
  <r>
    <x v="148"/>
    <x v="0"/>
    <s v="2024-06-16"/>
    <x v="5"/>
    <s v="Explore the latest video on Myntra! Trendy styles await."/>
    <n v="1702"/>
    <n v="750"/>
    <n v="179"/>
    <n v="34040"/>
    <n v="33174"/>
    <n v="76"/>
    <x v="2"/>
    <x v="3"/>
    <x v="0"/>
    <x v="148"/>
  </r>
  <r>
    <x v="149"/>
    <x v="1"/>
    <s v="2024-08-22"/>
    <x v="3"/>
    <s v="Explore the latest carousel on Myntra! Trendy styles await."/>
    <n v="4295"/>
    <n v="853"/>
    <n v="325"/>
    <n v="85900"/>
    <n v="85788"/>
    <n v="290"/>
    <x v="1"/>
    <x v="3"/>
    <x v="1"/>
    <x v="149"/>
  </r>
  <r>
    <x v="150"/>
    <x v="2"/>
    <s v="2024-07-26"/>
    <x v="4"/>
    <s v="Explore the latest image on Myntra! Trendy styles await."/>
    <n v="3559"/>
    <n v="59"/>
    <n v="289"/>
    <n v="35590"/>
    <n v="35105"/>
    <n v="122"/>
    <x v="2"/>
    <x v="3"/>
    <x v="4"/>
    <x v="150"/>
  </r>
  <r>
    <x v="151"/>
    <x v="3"/>
    <s v="2025-04-22"/>
    <x v="4"/>
    <s v="Explore the latest image on Myntra! Trendy styles await."/>
    <n v="4804"/>
    <n v="550"/>
    <n v="270"/>
    <n v="28824"/>
    <n v="28370"/>
    <n v="47"/>
    <x v="3"/>
    <x v="0"/>
    <x v="4"/>
    <x v="151"/>
  </r>
  <r>
    <x v="152"/>
    <x v="0"/>
    <s v="2025-01-01"/>
    <x v="5"/>
    <s v="Explore the latest video on Myntra! Trendy styles await."/>
    <n v="754"/>
    <n v="197"/>
    <n v="257"/>
    <n v="6786"/>
    <n v="6221"/>
    <n v="212"/>
    <x v="2"/>
    <x v="4"/>
    <x v="5"/>
    <x v="152"/>
  </r>
  <r>
    <x v="153"/>
    <x v="2"/>
    <s v="2024-10-09"/>
    <x v="3"/>
    <s v="Explore the latest carousel on Myntra! Trendy styles await."/>
    <n v="985"/>
    <n v="932"/>
    <n v="287"/>
    <n v="6895"/>
    <n v="6757"/>
    <n v="64"/>
    <x v="1"/>
    <x v="0"/>
    <x v="2"/>
    <x v="153"/>
  </r>
  <r>
    <x v="154"/>
    <x v="1"/>
    <s v="2024-12-21"/>
    <x v="4"/>
    <s v="Explore the latest image on Myntra! Trendy styles await."/>
    <n v="2283"/>
    <n v="210"/>
    <n v="130"/>
    <n v="22830"/>
    <n v="22617"/>
    <n v="143"/>
    <x v="2"/>
    <x v="1"/>
    <x v="4"/>
    <x v="154"/>
  </r>
  <r>
    <x v="155"/>
    <x v="3"/>
    <s v="2024-10-22"/>
    <x v="3"/>
    <s v="Explore the latest carousel on Myntra! Trendy styles await."/>
    <n v="3352"/>
    <n v="941"/>
    <n v="482"/>
    <n v="43576"/>
    <n v="43338"/>
    <n v="240"/>
    <x v="2"/>
    <x v="3"/>
    <x v="0"/>
    <x v="155"/>
  </r>
  <r>
    <x v="156"/>
    <x v="1"/>
    <s v="2024-07-23"/>
    <x v="2"/>
    <s v="Explore the latest story on Myntra! Trendy styles await."/>
    <n v="4775"/>
    <n v="173"/>
    <n v="206"/>
    <n v="47750"/>
    <n v="47544"/>
    <n v="187"/>
    <x v="3"/>
    <x v="2"/>
    <x v="5"/>
    <x v="156"/>
  </r>
  <r>
    <x v="157"/>
    <x v="2"/>
    <s v="2024-08-11"/>
    <x v="2"/>
    <s v="Explore the latest story on Myntra! Trendy styles await."/>
    <n v="1762"/>
    <n v="405"/>
    <n v="423"/>
    <n v="22906"/>
    <n v="21925"/>
    <n v="25"/>
    <x v="1"/>
    <x v="4"/>
    <x v="0"/>
    <x v="157"/>
  </r>
  <r>
    <x v="158"/>
    <x v="3"/>
    <s v="2024-11-25"/>
    <x v="2"/>
    <s v="Explore the latest story on Myntra! Trendy styles await."/>
    <n v="2120"/>
    <n v="158"/>
    <n v="488"/>
    <n v="12720"/>
    <n v="12085"/>
    <n v="17"/>
    <x v="1"/>
    <x v="2"/>
    <x v="5"/>
    <x v="158"/>
  </r>
  <r>
    <x v="159"/>
    <x v="0"/>
    <s v="2024-08-24"/>
    <x v="5"/>
    <s v="Explore the latest video on Myntra! Trendy styles await."/>
    <n v="1082"/>
    <n v="209"/>
    <n v="484"/>
    <n v="19476"/>
    <n v="18654"/>
    <n v="20"/>
    <x v="3"/>
    <x v="2"/>
    <x v="0"/>
    <x v="159"/>
  </r>
  <r>
    <x v="160"/>
    <x v="0"/>
    <s v="2025-02-19"/>
    <x v="1"/>
    <s v="Explore the latest text on Myntra! Trendy styles await."/>
    <n v="4671"/>
    <n v="876"/>
    <n v="366"/>
    <n v="51381"/>
    <n v="50565"/>
    <n v="245"/>
    <x v="1"/>
    <x v="0"/>
    <x v="0"/>
    <x v="160"/>
  </r>
  <r>
    <x v="161"/>
    <x v="3"/>
    <s v="2025-04-01"/>
    <x v="2"/>
    <s v="Explore the latest story on Myntra! Trendy styles await."/>
    <n v="3430"/>
    <n v="566"/>
    <n v="164"/>
    <n v="48020"/>
    <n v="47305"/>
    <n v="120"/>
    <x v="1"/>
    <x v="3"/>
    <x v="0"/>
    <x v="161"/>
  </r>
  <r>
    <x v="162"/>
    <x v="2"/>
    <s v="2025-04-08"/>
    <x v="4"/>
    <s v="Explore the latest image on Myntra! Trendy styles await."/>
    <n v="4501"/>
    <n v="375"/>
    <n v="323"/>
    <n v="22505"/>
    <n v="21836"/>
    <n v="132"/>
    <x v="3"/>
    <x v="1"/>
    <x v="0"/>
    <x v="162"/>
  </r>
  <r>
    <x v="163"/>
    <x v="1"/>
    <s v="2025-02-27"/>
    <x v="1"/>
    <s v="Explore the latest text on Myntra! Trendy styles await."/>
    <n v="4934"/>
    <n v="971"/>
    <n v="156"/>
    <n v="39472"/>
    <n v="39025"/>
    <n v="169"/>
    <x v="1"/>
    <x v="4"/>
    <x v="4"/>
    <x v="163"/>
  </r>
  <r>
    <x v="164"/>
    <x v="0"/>
    <s v="2024-12-11"/>
    <x v="1"/>
    <s v="Explore the latest text on Myntra! Trendy styles await."/>
    <n v="3239"/>
    <n v="43"/>
    <n v="211"/>
    <n v="22673"/>
    <n v="22171"/>
    <n v="230"/>
    <x v="1"/>
    <x v="3"/>
    <x v="4"/>
    <x v="164"/>
  </r>
  <r>
    <x v="165"/>
    <x v="0"/>
    <s v="2025-02-16"/>
    <x v="0"/>
    <s v="Explore the latest reel on Myntra! Trendy styles await."/>
    <n v="1076"/>
    <n v="313"/>
    <n v="306"/>
    <n v="11836"/>
    <n v="11596"/>
    <n v="104"/>
    <x v="1"/>
    <x v="4"/>
    <x v="0"/>
    <x v="165"/>
  </r>
  <r>
    <x v="166"/>
    <x v="2"/>
    <s v="2024-11-28"/>
    <x v="1"/>
    <s v="Explore the latest text on Myntra! Trendy styles await."/>
    <n v="4771"/>
    <n v="818"/>
    <n v="56"/>
    <n v="57252"/>
    <n v="56378"/>
    <n v="150"/>
    <x v="1"/>
    <x v="0"/>
    <x v="0"/>
    <x v="166"/>
  </r>
  <r>
    <x v="167"/>
    <x v="3"/>
    <s v="2024-11-12"/>
    <x v="1"/>
    <s v="Explore the latest text on Myntra! Trendy styles await."/>
    <n v="2418"/>
    <n v="754"/>
    <n v="54"/>
    <n v="43524"/>
    <n v="42743"/>
    <n v="182"/>
    <x v="3"/>
    <x v="1"/>
    <x v="5"/>
    <x v="167"/>
  </r>
  <r>
    <x v="168"/>
    <x v="1"/>
    <s v="2024-12-03"/>
    <x v="5"/>
    <s v="Explore the latest video on Myntra! Trendy styles await."/>
    <n v="3809"/>
    <n v="273"/>
    <n v="200"/>
    <n v="34281"/>
    <n v="33534"/>
    <n v="83"/>
    <x v="2"/>
    <x v="3"/>
    <x v="0"/>
    <x v="168"/>
  </r>
  <r>
    <x v="169"/>
    <x v="0"/>
    <s v="2025-04-28"/>
    <x v="1"/>
    <s v="Explore the latest text on Myntra! Trendy styles await."/>
    <n v="3577"/>
    <n v="596"/>
    <n v="493"/>
    <n v="67963"/>
    <n v="67839"/>
    <n v="53"/>
    <x v="3"/>
    <x v="2"/>
    <x v="5"/>
    <x v="169"/>
  </r>
  <r>
    <x v="170"/>
    <x v="1"/>
    <s v="2024-12-31"/>
    <x v="5"/>
    <s v="Explore the latest video on Myntra! Trendy styles await."/>
    <n v="1018"/>
    <n v="447"/>
    <n v="332"/>
    <n v="18324"/>
    <n v="18164"/>
    <n v="38"/>
    <x v="3"/>
    <x v="0"/>
    <x v="2"/>
    <x v="170"/>
  </r>
  <r>
    <x v="171"/>
    <x v="3"/>
    <s v="2024-08-14"/>
    <x v="3"/>
    <s v="Explore the latest carousel on Myntra! Trendy styles await."/>
    <n v="3073"/>
    <n v="553"/>
    <n v="174"/>
    <n v="52241"/>
    <n v="51605"/>
    <n v="246"/>
    <x v="3"/>
    <x v="1"/>
    <x v="4"/>
    <x v="171"/>
  </r>
  <r>
    <x v="172"/>
    <x v="0"/>
    <s v="2024-12-05"/>
    <x v="5"/>
    <s v="Explore the latest video on Myntra! Trendy styles await."/>
    <n v="1330"/>
    <n v="925"/>
    <n v="35"/>
    <n v="15960"/>
    <n v="15379"/>
    <n v="229"/>
    <x v="3"/>
    <x v="4"/>
    <x v="5"/>
    <x v="172"/>
  </r>
  <r>
    <x v="173"/>
    <x v="3"/>
    <s v="2024-06-22"/>
    <x v="1"/>
    <s v="Explore the latest text on Myntra! Trendy styles await."/>
    <n v="3828"/>
    <n v="148"/>
    <n v="253"/>
    <n v="30624"/>
    <n v="30229"/>
    <n v="235"/>
    <x v="3"/>
    <x v="0"/>
    <x v="4"/>
    <x v="173"/>
  </r>
  <r>
    <x v="174"/>
    <x v="2"/>
    <s v="2025-01-17"/>
    <x v="0"/>
    <s v="Explore the latest reel on Myntra! Trendy styles await."/>
    <n v="142"/>
    <n v="784"/>
    <n v="183"/>
    <n v="1704"/>
    <n v="995"/>
    <n v="154"/>
    <x v="0"/>
    <x v="0"/>
    <x v="0"/>
    <x v="174"/>
  </r>
  <r>
    <x v="175"/>
    <x v="3"/>
    <s v="2024-06-20"/>
    <x v="5"/>
    <s v="Explore the latest video on Myntra! Trendy styles await."/>
    <n v="3798"/>
    <n v="31"/>
    <n v="279"/>
    <n v="75960"/>
    <n v="75813"/>
    <n v="266"/>
    <x v="1"/>
    <x v="1"/>
    <x v="0"/>
    <x v="175"/>
  </r>
  <r>
    <x v="176"/>
    <x v="2"/>
    <s v="2024-07-10"/>
    <x v="3"/>
    <s v="Explore the latest carousel on Myntra! Trendy styles await."/>
    <n v="3099"/>
    <n v="694"/>
    <n v="171"/>
    <n v="43386"/>
    <n v="42921"/>
    <n v="52"/>
    <x v="3"/>
    <x v="4"/>
    <x v="0"/>
    <x v="176"/>
  </r>
  <r>
    <x v="177"/>
    <x v="2"/>
    <s v="2024-11-07"/>
    <x v="5"/>
    <s v="Explore the latest video on Myntra! Trendy styles await."/>
    <n v="129"/>
    <n v="643"/>
    <n v="136"/>
    <n v="1290"/>
    <n v="839"/>
    <n v="238"/>
    <x v="3"/>
    <x v="2"/>
    <x v="3"/>
    <x v="177"/>
  </r>
  <r>
    <x v="178"/>
    <x v="3"/>
    <s v="2024-07-15"/>
    <x v="3"/>
    <s v="Explore the latest carousel on Myntra! Trendy styles await."/>
    <n v="3796"/>
    <n v="667"/>
    <n v="395"/>
    <n v="64532"/>
    <n v="63550"/>
    <n v="292"/>
    <x v="0"/>
    <x v="2"/>
    <x v="0"/>
    <x v="178"/>
  </r>
  <r>
    <x v="179"/>
    <x v="1"/>
    <s v="2024-12-03"/>
    <x v="1"/>
    <s v="Explore the latest text on Myntra! Trendy styles await."/>
    <n v="3711"/>
    <n v="352"/>
    <n v="290"/>
    <n v="48243"/>
    <n v="47579"/>
    <n v="11"/>
    <x v="3"/>
    <x v="2"/>
    <x v="3"/>
    <x v="179"/>
  </r>
  <r>
    <x v="180"/>
    <x v="1"/>
    <s v="2025-03-21"/>
    <x v="4"/>
    <s v="Explore the latest image on Myntra! Trendy styles await."/>
    <n v="606"/>
    <n v="789"/>
    <n v="470"/>
    <n v="7878"/>
    <n v="7389"/>
    <n v="239"/>
    <x v="1"/>
    <x v="0"/>
    <x v="0"/>
    <x v="180"/>
  </r>
  <r>
    <x v="181"/>
    <x v="3"/>
    <s v="2024-07-31"/>
    <x v="4"/>
    <s v="Explore the latest image on Myntra! Trendy styles await."/>
    <n v="4689"/>
    <n v="134"/>
    <n v="403"/>
    <n v="51579"/>
    <n v="50924"/>
    <n v="173"/>
    <x v="0"/>
    <x v="4"/>
    <x v="0"/>
    <x v="181"/>
  </r>
  <r>
    <x v="182"/>
    <x v="2"/>
    <s v="2024-12-17"/>
    <x v="2"/>
    <s v="Explore the latest story on Myntra! Trendy styles await."/>
    <n v="360"/>
    <n v="590"/>
    <n v="393"/>
    <n v="4680"/>
    <n v="4322"/>
    <n v="208"/>
    <x v="1"/>
    <x v="2"/>
    <x v="3"/>
    <x v="182"/>
  </r>
  <r>
    <x v="183"/>
    <x v="0"/>
    <s v="2024-07-28"/>
    <x v="4"/>
    <s v="Explore the latest image on Myntra! Trendy styles await."/>
    <n v="3215"/>
    <n v="960"/>
    <n v="202"/>
    <n v="32150"/>
    <n v="31404"/>
    <n v="251"/>
    <x v="2"/>
    <x v="2"/>
    <x v="0"/>
    <x v="183"/>
  </r>
  <r>
    <x v="184"/>
    <x v="2"/>
    <s v="2025-01-11"/>
    <x v="3"/>
    <s v="Explore the latest carousel on Myntra! Trendy styles await."/>
    <n v="4523"/>
    <n v="61"/>
    <n v="157"/>
    <n v="49753"/>
    <n v="49329"/>
    <n v="71"/>
    <x v="3"/>
    <x v="0"/>
    <x v="5"/>
    <x v="184"/>
  </r>
  <r>
    <x v="185"/>
    <x v="3"/>
    <s v="2024-08-24"/>
    <x v="3"/>
    <s v="Explore the latest carousel on Myntra! Trendy styles await."/>
    <n v="4292"/>
    <n v="51"/>
    <n v="392"/>
    <n v="55796"/>
    <n v="54826"/>
    <n v="264"/>
    <x v="0"/>
    <x v="3"/>
    <x v="4"/>
    <x v="185"/>
  </r>
  <r>
    <x v="186"/>
    <x v="0"/>
    <s v="2024-12-22"/>
    <x v="0"/>
    <s v="Explore the latest reel on Myntra! Trendy styles await."/>
    <n v="1644"/>
    <n v="546"/>
    <n v="150"/>
    <n v="27948"/>
    <n v="27184"/>
    <n v="300"/>
    <x v="0"/>
    <x v="0"/>
    <x v="5"/>
    <x v="186"/>
  </r>
  <r>
    <x v="187"/>
    <x v="1"/>
    <s v="2024-06-06"/>
    <x v="0"/>
    <s v="Explore the latest reel on Myntra! Trendy styles await."/>
    <n v="2728"/>
    <n v="533"/>
    <n v="215"/>
    <n v="40920"/>
    <n v="40816"/>
    <n v="137"/>
    <x v="1"/>
    <x v="0"/>
    <x v="0"/>
    <x v="187"/>
  </r>
  <r>
    <x v="188"/>
    <x v="3"/>
    <s v="2025-03-24"/>
    <x v="0"/>
    <s v="Explore the latest reel on Myntra! Trendy styles await."/>
    <n v="3360"/>
    <n v="525"/>
    <n v="500"/>
    <n v="60480"/>
    <n v="59610"/>
    <n v="192"/>
    <x v="0"/>
    <x v="0"/>
    <x v="4"/>
    <x v="188"/>
  </r>
  <r>
    <x v="189"/>
    <x v="1"/>
    <s v="2024-10-04"/>
    <x v="1"/>
    <s v="Explore the latest text on Myntra! Trendy styles await."/>
    <n v="1963"/>
    <n v="213"/>
    <n v="19"/>
    <n v="39260"/>
    <n v="38771"/>
    <n v="145"/>
    <x v="0"/>
    <x v="2"/>
    <x v="0"/>
    <x v="189"/>
  </r>
  <r>
    <x v="190"/>
    <x v="1"/>
    <s v="2024-12-03"/>
    <x v="2"/>
    <s v="Explore the latest story on Myntra! Trendy styles await."/>
    <n v="4285"/>
    <n v="886"/>
    <n v="376"/>
    <n v="55705"/>
    <n v="55556"/>
    <n v="51"/>
    <x v="3"/>
    <x v="1"/>
    <x v="3"/>
    <x v="190"/>
  </r>
  <r>
    <x v="191"/>
    <x v="2"/>
    <s v="2024-11-29"/>
    <x v="5"/>
    <s v="Explore the latest video on Myntra! Trendy styles await."/>
    <n v="1176"/>
    <n v="464"/>
    <n v="394"/>
    <n v="14112"/>
    <n v="13588"/>
    <n v="272"/>
    <x v="0"/>
    <x v="4"/>
    <x v="0"/>
    <x v="191"/>
  </r>
  <r>
    <x v="192"/>
    <x v="0"/>
    <s v="2024-09-11"/>
    <x v="4"/>
    <s v="Explore the latest image on Myntra! Trendy styles await."/>
    <n v="4858"/>
    <n v="317"/>
    <n v="129"/>
    <n v="53438"/>
    <n v="52687"/>
    <n v="223"/>
    <x v="0"/>
    <x v="4"/>
    <x v="5"/>
    <x v="192"/>
  </r>
  <r>
    <x v="193"/>
    <x v="1"/>
    <s v="2024-10-02"/>
    <x v="2"/>
    <s v="Explore the latest story on Myntra! Trendy styles await."/>
    <n v="4350"/>
    <n v="771"/>
    <n v="7"/>
    <n v="60900"/>
    <n v="60592"/>
    <n v="195"/>
    <x v="1"/>
    <x v="4"/>
    <x v="4"/>
    <x v="193"/>
  </r>
  <r>
    <x v="194"/>
    <x v="2"/>
    <s v="2024-08-15"/>
    <x v="3"/>
    <s v="Explore the latest carousel on Myntra! Trendy styles await."/>
    <n v="914"/>
    <n v="464"/>
    <n v="246"/>
    <n v="11882"/>
    <n v="11500"/>
    <n v="282"/>
    <x v="2"/>
    <x v="1"/>
    <x v="5"/>
    <x v="194"/>
  </r>
  <r>
    <x v="195"/>
    <x v="2"/>
    <s v="2024-12-19"/>
    <x v="1"/>
    <s v="Explore the latest text on Myntra! Trendy styles await."/>
    <n v="1813"/>
    <n v="623"/>
    <n v="72"/>
    <n v="19943"/>
    <n v="18959"/>
    <n v="85"/>
    <x v="2"/>
    <x v="3"/>
    <x v="2"/>
    <x v="195"/>
  </r>
  <r>
    <x v="196"/>
    <x v="0"/>
    <s v="2024-10-22"/>
    <x v="0"/>
    <s v="Explore the latest reel on Myntra! Trendy styles await."/>
    <n v="4782"/>
    <n v="721"/>
    <n v="82"/>
    <n v="86076"/>
    <n v="85339"/>
    <n v="19"/>
    <x v="1"/>
    <x v="4"/>
    <x v="0"/>
    <x v="196"/>
  </r>
  <r>
    <x v="197"/>
    <x v="0"/>
    <s v="2024-09-14"/>
    <x v="4"/>
    <s v="Explore the latest image on Myntra! Trendy styles await."/>
    <n v="1048"/>
    <n v="374"/>
    <n v="450"/>
    <n v="9432"/>
    <n v="8882"/>
    <n v="158"/>
    <x v="1"/>
    <x v="3"/>
    <x v="1"/>
    <x v="197"/>
  </r>
  <r>
    <x v="198"/>
    <x v="1"/>
    <s v="2024-11-30"/>
    <x v="3"/>
    <s v="Explore the latest carousel on Myntra! Trendy styles await."/>
    <n v="2509"/>
    <n v="324"/>
    <n v="171"/>
    <n v="35126"/>
    <n v="34685"/>
    <n v="277"/>
    <x v="1"/>
    <x v="4"/>
    <x v="0"/>
    <x v="198"/>
  </r>
  <r>
    <x v="199"/>
    <x v="3"/>
    <s v="2025-04-07"/>
    <x v="0"/>
    <s v="Explore the latest reel on Myntra! Trendy styles await."/>
    <n v="3718"/>
    <n v="385"/>
    <n v="310"/>
    <n v="70642"/>
    <n v="69749"/>
    <n v="233"/>
    <x v="0"/>
    <x v="3"/>
    <x v="0"/>
    <x v="199"/>
  </r>
  <r>
    <x v="200"/>
    <x v="0"/>
    <s v="2025-01-15"/>
    <x v="0"/>
    <s v="Explore the latest reel on Myntra! Trendy styles await."/>
    <n v="802"/>
    <n v="262"/>
    <n v="244"/>
    <n v="14436"/>
    <n v="14280"/>
    <n v="49"/>
    <x v="3"/>
    <x v="0"/>
    <x v="3"/>
    <x v="200"/>
  </r>
  <r>
    <x v="201"/>
    <x v="3"/>
    <s v="2024-06-02"/>
    <x v="4"/>
    <s v="Explore the latest image on Myntra! Trendy styles await."/>
    <n v="1871"/>
    <n v="252"/>
    <n v="335"/>
    <n v="29936"/>
    <n v="29576"/>
    <n v="288"/>
    <x v="1"/>
    <x v="3"/>
    <x v="0"/>
    <x v="201"/>
  </r>
  <r>
    <x v="202"/>
    <x v="2"/>
    <s v="2024-11-21"/>
    <x v="3"/>
    <s v="Explore the latest carousel on Myntra! Trendy styles await."/>
    <n v="3773"/>
    <n v="299"/>
    <n v="38"/>
    <n v="71687"/>
    <n v="71447"/>
    <n v="286"/>
    <x v="3"/>
    <x v="3"/>
    <x v="0"/>
    <x v="202"/>
  </r>
  <r>
    <x v="203"/>
    <x v="2"/>
    <s v="2025-01-01"/>
    <x v="3"/>
    <s v="Explore the latest carousel on Myntra! Trendy styles await."/>
    <n v="2234"/>
    <n v="653"/>
    <n v="432"/>
    <n v="11170"/>
    <n v="10569"/>
    <n v="198"/>
    <x v="3"/>
    <x v="4"/>
    <x v="4"/>
    <x v="203"/>
  </r>
  <r>
    <x v="204"/>
    <x v="0"/>
    <s v="2025-04-24"/>
    <x v="5"/>
    <s v="Explore the latest video on Myntra! Trendy styles await."/>
    <n v="3820"/>
    <n v="697"/>
    <n v="268"/>
    <n v="45840"/>
    <n v="45631"/>
    <n v="171"/>
    <x v="0"/>
    <x v="2"/>
    <x v="3"/>
    <x v="204"/>
  </r>
  <r>
    <x v="205"/>
    <x v="0"/>
    <s v="2024-06-24"/>
    <x v="1"/>
    <s v="Explore the latest text on Myntra! Trendy styles await."/>
    <n v="941"/>
    <n v="121"/>
    <n v="458"/>
    <n v="14115"/>
    <n v="13838"/>
    <n v="87"/>
    <x v="1"/>
    <x v="1"/>
    <x v="1"/>
    <x v="205"/>
  </r>
  <r>
    <x v="206"/>
    <x v="0"/>
    <s v="2024-12-29"/>
    <x v="3"/>
    <s v="Explore the latest carousel on Myntra! Trendy styles await."/>
    <n v="4274"/>
    <n v="340"/>
    <n v="281"/>
    <n v="34192"/>
    <n v="33446"/>
    <n v="129"/>
    <x v="2"/>
    <x v="2"/>
    <x v="3"/>
    <x v="206"/>
  </r>
  <r>
    <x v="207"/>
    <x v="1"/>
    <s v="2024-06-24"/>
    <x v="5"/>
    <s v="Explore the latest video on Myntra! Trendy styles await."/>
    <n v="2949"/>
    <n v="476"/>
    <n v="403"/>
    <n v="44235"/>
    <n v="43705"/>
    <n v="135"/>
    <x v="0"/>
    <x v="3"/>
    <x v="3"/>
    <x v="207"/>
  </r>
  <r>
    <x v="208"/>
    <x v="0"/>
    <s v="2025-03-19"/>
    <x v="5"/>
    <s v="Explore the latest video on Myntra! Trendy styles await."/>
    <n v="3160"/>
    <n v="204"/>
    <n v="297"/>
    <n v="44240"/>
    <n v="43666"/>
    <n v="49"/>
    <x v="0"/>
    <x v="2"/>
    <x v="5"/>
    <x v="208"/>
  </r>
  <r>
    <x v="209"/>
    <x v="1"/>
    <s v="2025-02-19"/>
    <x v="4"/>
    <s v="Explore the latest image on Myntra! Trendy styles await."/>
    <n v="257"/>
    <n v="966"/>
    <n v="398"/>
    <n v="3341"/>
    <n v="2753"/>
    <n v="287"/>
    <x v="0"/>
    <x v="3"/>
    <x v="1"/>
    <x v="209"/>
  </r>
  <r>
    <x v="210"/>
    <x v="0"/>
    <s v="2024-07-18"/>
    <x v="3"/>
    <s v="Explore the latest carousel on Myntra! Trendy styles await."/>
    <n v="2120"/>
    <n v="38"/>
    <n v="212"/>
    <n v="12720"/>
    <n v="12564"/>
    <n v="21"/>
    <x v="0"/>
    <x v="3"/>
    <x v="1"/>
    <x v="210"/>
  </r>
  <r>
    <x v="211"/>
    <x v="1"/>
    <s v="2025-03-03"/>
    <x v="5"/>
    <s v="Explore the latest video on Myntra! Trendy styles await."/>
    <n v="3874"/>
    <n v="884"/>
    <n v="19"/>
    <n v="38740"/>
    <n v="38552"/>
    <n v="219"/>
    <x v="3"/>
    <x v="2"/>
    <x v="0"/>
    <x v="211"/>
  </r>
  <r>
    <x v="212"/>
    <x v="3"/>
    <s v="2025-05-01"/>
    <x v="3"/>
    <s v="Explore the latest carousel on Myntra! Trendy styles await."/>
    <n v="2696"/>
    <n v="628"/>
    <n v="443"/>
    <n v="45832"/>
    <n v="45632"/>
    <n v="248"/>
    <x v="2"/>
    <x v="0"/>
    <x v="0"/>
    <x v="212"/>
  </r>
  <r>
    <x v="213"/>
    <x v="2"/>
    <s v="2024-12-23"/>
    <x v="4"/>
    <s v="Explore the latest image on Myntra! Trendy styles await."/>
    <n v="521"/>
    <n v="746"/>
    <n v="315"/>
    <n v="4168"/>
    <n v="3399"/>
    <n v="282"/>
    <x v="0"/>
    <x v="0"/>
    <x v="0"/>
    <x v="213"/>
  </r>
  <r>
    <x v="214"/>
    <x v="3"/>
    <s v="2025-05-06"/>
    <x v="4"/>
    <s v="Explore the latest image on Myntra! Trendy styles await."/>
    <n v="4872"/>
    <n v="925"/>
    <n v="176"/>
    <n v="82824"/>
    <n v="82543"/>
    <n v="89"/>
    <x v="0"/>
    <x v="0"/>
    <x v="5"/>
    <x v="214"/>
  </r>
  <r>
    <x v="215"/>
    <x v="1"/>
    <s v="2024-07-29"/>
    <x v="2"/>
    <s v="Explore the latest story on Myntra! Trendy styles await."/>
    <n v="1509"/>
    <n v="88"/>
    <n v="163"/>
    <n v="30180"/>
    <n v="29689"/>
    <n v="119"/>
    <x v="0"/>
    <x v="3"/>
    <x v="0"/>
    <x v="215"/>
  </r>
  <r>
    <x v="216"/>
    <x v="3"/>
    <s v="2024-12-03"/>
    <x v="4"/>
    <s v="Explore the latest image on Myntra! Trendy styles await."/>
    <n v="4606"/>
    <n v="931"/>
    <n v="230"/>
    <n v="92120"/>
    <n v="91440"/>
    <n v="56"/>
    <x v="2"/>
    <x v="4"/>
    <x v="2"/>
    <x v="216"/>
  </r>
  <r>
    <x v="217"/>
    <x v="3"/>
    <s v="2024-06-11"/>
    <x v="3"/>
    <s v="Explore the latest carousel on Myntra! Trendy styles await."/>
    <n v="1869"/>
    <n v="453"/>
    <n v="490"/>
    <n v="14952"/>
    <n v="14309"/>
    <n v="275"/>
    <x v="0"/>
    <x v="4"/>
    <x v="4"/>
    <x v="217"/>
  </r>
  <r>
    <x v="218"/>
    <x v="0"/>
    <s v="2025-01-28"/>
    <x v="0"/>
    <s v="Explore the latest reel on Myntra! Trendy styles await."/>
    <n v="1188"/>
    <n v="470"/>
    <n v="174"/>
    <n v="7128"/>
    <n v="6145"/>
    <n v="270"/>
    <x v="1"/>
    <x v="2"/>
    <x v="2"/>
    <x v="218"/>
  </r>
  <r>
    <x v="219"/>
    <x v="2"/>
    <s v="2024-06-02"/>
    <x v="2"/>
    <s v="Explore the latest story on Myntra! Trendy styles await."/>
    <n v="84"/>
    <n v="897"/>
    <n v="85"/>
    <n v="588"/>
    <n v="8"/>
    <n v="12"/>
    <x v="1"/>
    <x v="2"/>
    <x v="0"/>
    <x v="219"/>
  </r>
  <r>
    <x v="220"/>
    <x v="3"/>
    <s v="2025-03-23"/>
    <x v="5"/>
    <s v="Explore the latest video on Myntra! Trendy styles await."/>
    <n v="4453"/>
    <n v="111"/>
    <n v="420"/>
    <n v="31171"/>
    <n v="30565"/>
    <n v="23"/>
    <x v="3"/>
    <x v="3"/>
    <x v="2"/>
    <x v="220"/>
  </r>
  <r>
    <x v="221"/>
    <x v="3"/>
    <s v="2024-10-08"/>
    <x v="0"/>
    <s v="Explore the latest reel on Myntra! Trendy styles await."/>
    <n v="1814"/>
    <n v="653"/>
    <n v="363"/>
    <n v="25396"/>
    <n v="25286"/>
    <n v="39"/>
    <x v="0"/>
    <x v="2"/>
    <x v="0"/>
    <x v="221"/>
  </r>
  <r>
    <x v="222"/>
    <x v="0"/>
    <s v="2024-11-12"/>
    <x v="4"/>
    <s v="Explore the latest image on Myntra! Trendy styles await."/>
    <n v="3338"/>
    <n v="277"/>
    <n v="118"/>
    <n v="60084"/>
    <n v="59842"/>
    <n v="252"/>
    <x v="0"/>
    <x v="2"/>
    <x v="0"/>
    <x v="222"/>
  </r>
  <r>
    <x v="223"/>
    <x v="3"/>
    <s v="2025-05-13"/>
    <x v="4"/>
    <s v="Explore the latest image on Myntra! Trendy styles await."/>
    <n v="602"/>
    <n v="594"/>
    <n v="156"/>
    <n v="4214"/>
    <n v="3363"/>
    <n v="164"/>
    <x v="2"/>
    <x v="0"/>
    <x v="0"/>
    <x v="223"/>
  </r>
  <r>
    <x v="224"/>
    <x v="0"/>
    <s v="2024-06-20"/>
    <x v="3"/>
    <s v="Explore the latest carousel on Myntra! Trendy styles await."/>
    <n v="4672"/>
    <n v="325"/>
    <n v="32"/>
    <n v="88768"/>
    <n v="87833"/>
    <n v="118"/>
    <x v="2"/>
    <x v="4"/>
    <x v="1"/>
    <x v="224"/>
  </r>
  <r>
    <x v="225"/>
    <x v="2"/>
    <s v="2024-08-07"/>
    <x v="3"/>
    <s v="Explore the latest carousel on Myntra! Trendy styles await."/>
    <n v="1741"/>
    <n v="164"/>
    <n v="318"/>
    <n v="8705"/>
    <n v="8272"/>
    <n v="121"/>
    <x v="1"/>
    <x v="0"/>
    <x v="0"/>
    <x v="225"/>
  </r>
  <r>
    <x v="226"/>
    <x v="2"/>
    <s v="2024-06-12"/>
    <x v="1"/>
    <s v="Explore the latest text on Myntra! Trendy styles await."/>
    <n v="246"/>
    <n v="149"/>
    <n v="130"/>
    <n v="4674"/>
    <n v="4390"/>
    <n v="217"/>
    <x v="1"/>
    <x v="3"/>
    <x v="3"/>
    <x v="226"/>
  </r>
  <r>
    <x v="227"/>
    <x v="2"/>
    <s v="2024-07-01"/>
    <x v="2"/>
    <s v="Explore the latest story on Myntra! Trendy styles await."/>
    <n v="4808"/>
    <n v="772"/>
    <n v="320"/>
    <n v="72120"/>
    <n v="71696"/>
    <n v="195"/>
    <x v="3"/>
    <x v="3"/>
    <x v="1"/>
    <x v="227"/>
  </r>
  <r>
    <x v="228"/>
    <x v="2"/>
    <s v="2024-07-03"/>
    <x v="3"/>
    <s v="Explore the latest carousel on Myntra! Trendy styles await."/>
    <n v="4799"/>
    <n v="694"/>
    <n v="289"/>
    <n v="43191"/>
    <n v="42228"/>
    <n v="118"/>
    <x v="1"/>
    <x v="3"/>
    <x v="0"/>
    <x v="228"/>
  </r>
  <r>
    <x v="229"/>
    <x v="3"/>
    <s v="2024-07-15"/>
    <x v="0"/>
    <s v="Explore the latest reel on Myntra! Trendy styles await."/>
    <n v="3663"/>
    <n v="17"/>
    <n v="295"/>
    <n v="51282"/>
    <n v="50567"/>
    <n v="84"/>
    <x v="0"/>
    <x v="0"/>
    <x v="0"/>
    <x v="229"/>
  </r>
  <r>
    <x v="230"/>
    <x v="2"/>
    <s v="2025-05-01"/>
    <x v="1"/>
    <s v="Explore the latest text on Myntra! Trendy styles await."/>
    <n v="1430"/>
    <n v="376"/>
    <n v="33"/>
    <n v="21450"/>
    <n v="20509"/>
    <n v="251"/>
    <x v="2"/>
    <x v="4"/>
    <x v="0"/>
    <x v="230"/>
  </r>
  <r>
    <x v="231"/>
    <x v="0"/>
    <s v="2025-04-29"/>
    <x v="2"/>
    <s v="Explore the latest story on Myntra! Trendy styles await."/>
    <n v="249"/>
    <n v="592"/>
    <n v="230"/>
    <n v="1494"/>
    <n v="1044"/>
    <n v="201"/>
    <x v="3"/>
    <x v="1"/>
    <x v="5"/>
    <x v="231"/>
  </r>
  <r>
    <x v="232"/>
    <x v="3"/>
    <s v="2025-03-08"/>
    <x v="4"/>
    <s v="Explore the latest image on Myntra! Trendy styles await."/>
    <n v="2382"/>
    <n v="265"/>
    <n v="134"/>
    <n v="38112"/>
    <n v="37437"/>
    <n v="249"/>
    <x v="1"/>
    <x v="4"/>
    <x v="5"/>
    <x v="232"/>
  </r>
  <r>
    <x v="233"/>
    <x v="3"/>
    <s v="2024-06-01"/>
    <x v="1"/>
    <s v="Explore the latest text on Myntra! Trendy styles await."/>
    <n v="1272"/>
    <n v="465"/>
    <n v="99"/>
    <n v="24168"/>
    <n v="23719"/>
    <n v="42"/>
    <x v="1"/>
    <x v="1"/>
    <x v="3"/>
    <x v="233"/>
  </r>
  <r>
    <x v="234"/>
    <x v="3"/>
    <s v="2024-12-22"/>
    <x v="4"/>
    <s v="Explore the latest image on Myntra! Trendy styles await."/>
    <n v="3196"/>
    <n v="941"/>
    <n v="376"/>
    <n v="35156"/>
    <n v="34444"/>
    <n v="241"/>
    <x v="3"/>
    <x v="2"/>
    <x v="5"/>
    <x v="234"/>
  </r>
  <r>
    <x v="235"/>
    <x v="3"/>
    <s v="2024-08-19"/>
    <x v="1"/>
    <s v="Explore the latest text on Myntra! Trendy styles await."/>
    <n v="1257"/>
    <n v="19"/>
    <n v="351"/>
    <n v="12570"/>
    <n v="11660"/>
    <n v="194"/>
    <x v="0"/>
    <x v="2"/>
    <x v="0"/>
    <x v="235"/>
  </r>
  <r>
    <x v="236"/>
    <x v="2"/>
    <s v="2024-10-22"/>
    <x v="2"/>
    <s v="Explore the latest story on Myntra! Trendy styles await."/>
    <n v="3770"/>
    <n v="917"/>
    <n v="129"/>
    <n v="71630"/>
    <n v="71322"/>
    <n v="76"/>
    <x v="3"/>
    <x v="0"/>
    <x v="5"/>
    <x v="236"/>
  </r>
  <r>
    <x v="237"/>
    <x v="0"/>
    <s v="2024-07-16"/>
    <x v="1"/>
    <s v="Explore the latest text on Myntra! Trendy styles await."/>
    <n v="4725"/>
    <n v="400"/>
    <n v="362"/>
    <n v="75600"/>
    <n v="74927"/>
    <n v="43"/>
    <x v="0"/>
    <x v="3"/>
    <x v="2"/>
    <x v="237"/>
  </r>
  <r>
    <x v="238"/>
    <x v="1"/>
    <s v="2025-02-24"/>
    <x v="1"/>
    <s v="Explore the latest text on Myntra! Trendy styles await."/>
    <n v="4188"/>
    <n v="942"/>
    <n v="118"/>
    <n v="20940"/>
    <n v="20471"/>
    <n v="102"/>
    <x v="1"/>
    <x v="2"/>
    <x v="0"/>
    <x v="238"/>
  </r>
  <r>
    <x v="239"/>
    <x v="0"/>
    <s v="2024-08-26"/>
    <x v="3"/>
    <s v="Explore the latest carousel on Myntra! Trendy styles await."/>
    <n v="929"/>
    <n v="192"/>
    <n v="322"/>
    <n v="16722"/>
    <n v="15996"/>
    <n v="145"/>
    <x v="2"/>
    <x v="1"/>
    <x v="0"/>
    <x v="239"/>
  </r>
  <r>
    <x v="240"/>
    <x v="3"/>
    <s v="2025-01-18"/>
    <x v="2"/>
    <s v="Explore the latest story on Myntra! Trendy styles await."/>
    <n v="4321"/>
    <n v="874"/>
    <n v="172"/>
    <n v="30247"/>
    <n v="29254"/>
    <n v="122"/>
    <x v="2"/>
    <x v="0"/>
    <x v="2"/>
    <x v="240"/>
  </r>
  <r>
    <x v="241"/>
    <x v="3"/>
    <s v="2024-07-07"/>
    <x v="0"/>
    <s v="Explore the latest reel on Myntra! Trendy styles await."/>
    <n v="4767"/>
    <n v="190"/>
    <n v="340"/>
    <n v="28602"/>
    <n v="28044"/>
    <n v="210"/>
    <x v="3"/>
    <x v="4"/>
    <x v="0"/>
    <x v="241"/>
  </r>
  <r>
    <x v="242"/>
    <x v="0"/>
    <s v="2025-03-06"/>
    <x v="4"/>
    <s v="Explore the latest image on Myntra! Trendy styles await."/>
    <n v="3592"/>
    <n v="911"/>
    <n v="375"/>
    <n v="50288"/>
    <n v="49490"/>
    <n v="32"/>
    <x v="1"/>
    <x v="2"/>
    <x v="0"/>
    <x v="242"/>
  </r>
  <r>
    <x v="243"/>
    <x v="1"/>
    <s v="2024-10-25"/>
    <x v="5"/>
    <s v="Explore the latest video on Myntra! Trendy styles await."/>
    <n v="4661"/>
    <n v="935"/>
    <n v="433"/>
    <n v="23305"/>
    <n v="22583"/>
    <n v="63"/>
    <x v="0"/>
    <x v="2"/>
    <x v="3"/>
    <x v="243"/>
  </r>
  <r>
    <x v="244"/>
    <x v="3"/>
    <s v="2025-01-12"/>
    <x v="0"/>
    <s v="Explore the latest reel on Myntra! Trendy styles await."/>
    <n v="4134"/>
    <n v="824"/>
    <n v="99"/>
    <n v="41340"/>
    <n v="41050"/>
    <n v="177"/>
    <x v="1"/>
    <x v="1"/>
    <x v="0"/>
    <x v="244"/>
  </r>
  <r>
    <x v="245"/>
    <x v="3"/>
    <s v="2024-10-11"/>
    <x v="4"/>
    <s v="Explore the latest image on Myntra! Trendy styles await."/>
    <n v="400"/>
    <n v="680"/>
    <n v="434"/>
    <n v="6400"/>
    <n v="5472"/>
    <n v="160"/>
    <x v="1"/>
    <x v="0"/>
    <x v="5"/>
    <x v="245"/>
  </r>
  <r>
    <x v="246"/>
    <x v="3"/>
    <s v="2024-08-27"/>
    <x v="0"/>
    <s v="Explore the latest reel on Myntra! Trendy styles await."/>
    <n v="3960"/>
    <n v="266"/>
    <n v="8"/>
    <n v="35640"/>
    <n v="34850"/>
    <n v="208"/>
    <x v="3"/>
    <x v="3"/>
    <x v="2"/>
    <x v="246"/>
  </r>
  <r>
    <x v="247"/>
    <x v="3"/>
    <s v="2025-02-02"/>
    <x v="2"/>
    <s v="Explore the latest story on Myntra! Trendy styles await."/>
    <n v="886"/>
    <n v="126"/>
    <n v="153"/>
    <n v="4430"/>
    <n v="4037"/>
    <n v="212"/>
    <x v="2"/>
    <x v="0"/>
    <x v="0"/>
    <x v="247"/>
  </r>
  <r>
    <x v="248"/>
    <x v="0"/>
    <s v="2024-07-18"/>
    <x v="4"/>
    <s v="Explore the latest image on Myntra! Trendy styles await."/>
    <n v="827"/>
    <n v="77"/>
    <n v="402"/>
    <n v="14886"/>
    <n v="14129"/>
    <n v="254"/>
    <x v="1"/>
    <x v="2"/>
    <x v="0"/>
    <x v="248"/>
  </r>
  <r>
    <x v="249"/>
    <x v="3"/>
    <s v="2024-06-22"/>
    <x v="0"/>
    <s v="Explore the latest reel on Myntra! Trendy styles await."/>
    <n v="3813"/>
    <n v="935"/>
    <n v="274"/>
    <n v="68634"/>
    <n v="68488"/>
    <n v="251"/>
    <x v="0"/>
    <x v="4"/>
    <x v="5"/>
    <x v="249"/>
  </r>
  <r>
    <x v="250"/>
    <x v="2"/>
    <s v="2025-03-27"/>
    <x v="3"/>
    <s v="Explore the latest carousel on Myntra! Trendy styles await."/>
    <n v="1377"/>
    <n v="796"/>
    <n v="387"/>
    <n v="22032"/>
    <n v="21869"/>
    <n v="189"/>
    <x v="2"/>
    <x v="4"/>
    <x v="2"/>
    <x v="250"/>
  </r>
  <r>
    <x v="251"/>
    <x v="3"/>
    <s v="2025-04-28"/>
    <x v="3"/>
    <s v="Explore the latest carousel on Myntra! Trendy styles await."/>
    <n v="2089"/>
    <n v="476"/>
    <n v="69"/>
    <n v="16712"/>
    <n v="16309"/>
    <n v="64"/>
    <x v="0"/>
    <x v="2"/>
    <x v="1"/>
    <x v="251"/>
  </r>
  <r>
    <x v="252"/>
    <x v="0"/>
    <s v="2024-08-03"/>
    <x v="0"/>
    <s v="Explore the latest reel on Myntra! Trendy styles await."/>
    <n v="3791"/>
    <n v="593"/>
    <n v="228"/>
    <n v="53074"/>
    <n v="52613"/>
    <n v="205"/>
    <x v="0"/>
    <x v="2"/>
    <x v="3"/>
    <x v="252"/>
  </r>
  <r>
    <x v="253"/>
    <x v="0"/>
    <s v="2025-01-14"/>
    <x v="4"/>
    <s v="Explore the latest image on Myntra! Trendy styles await."/>
    <n v="2692"/>
    <n v="115"/>
    <n v="64"/>
    <n v="21536"/>
    <n v="21120"/>
    <n v="224"/>
    <x v="3"/>
    <x v="4"/>
    <x v="5"/>
    <x v="253"/>
  </r>
  <r>
    <x v="254"/>
    <x v="3"/>
    <s v="2025-04-03"/>
    <x v="2"/>
    <s v="Explore the latest story on Myntra! Trendy styles await."/>
    <n v="3767"/>
    <n v="514"/>
    <n v="238"/>
    <n v="37670"/>
    <n v="36807"/>
    <n v="226"/>
    <x v="0"/>
    <x v="2"/>
    <x v="3"/>
    <x v="254"/>
  </r>
  <r>
    <x v="255"/>
    <x v="1"/>
    <s v="2024-09-18"/>
    <x v="3"/>
    <s v="Explore the latest carousel on Myntra! Trendy styles await."/>
    <n v="2143"/>
    <n v="12"/>
    <n v="204"/>
    <n v="40717"/>
    <n v="40125"/>
    <n v="248"/>
    <x v="3"/>
    <x v="4"/>
    <x v="1"/>
    <x v="255"/>
  </r>
  <r>
    <x v="256"/>
    <x v="3"/>
    <s v="2025-04-06"/>
    <x v="4"/>
    <s v="Explore the latest image on Myntra! Trendy styles await."/>
    <n v="3090"/>
    <n v="697"/>
    <n v="164"/>
    <n v="49440"/>
    <n v="48524"/>
    <n v="25"/>
    <x v="3"/>
    <x v="4"/>
    <x v="4"/>
    <x v="256"/>
  </r>
  <r>
    <x v="257"/>
    <x v="2"/>
    <s v="2024-08-05"/>
    <x v="2"/>
    <s v="Explore the latest story on Myntra! Trendy styles await."/>
    <n v="3601"/>
    <n v="695"/>
    <n v="75"/>
    <n v="21606"/>
    <n v="21454"/>
    <n v="172"/>
    <x v="1"/>
    <x v="2"/>
    <x v="0"/>
    <x v="257"/>
  </r>
  <r>
    <x v="258"/>
    <x v="3"/>
    <s v="2025-02-10"/>
    <x v="1"/>
    <s v="Explore the latest text on Myntra! Trendy styles await."/>
    <n v="562"/>
    <n v="158"/>
    <n v="149"/>
    <n v="3372"/>
    <n v="2940"/>
    <n v="93"/>
    <x v="3"/>
    <x v="4"/>
    <x v="1"/>
    <x v="258"/>
  </r>
  <r>
    <x v="259"/>
    <x v="2"/>
    <s v="2025-02-12"/>
    <x v="2"/>
    <s v="Explore the latest story on Myntra! Trendy styles await."/>
    <n v="4332"/>
    <n v="771"/>
    <n v="219"/>
    <n v="60648"/>
    <n v="60397"/>
    <n v="10"/>
    <x v="2"/>
    <x v="1"/>
    <x v="0"/>
    <x v="259"/>
  </r>
  <r>
    <x v="260"/>
    <x v="2"/>
    <s v="2024-10-27"/>
    <x v="4"/>
    <s v="Explore the latest image on Myntra! Trendy styles await."/>
    <n v="4853"/>
    <n v="837"/>
    <n v="340"/>
    <n v="72795"/>
    <n v="72237"/>
    <n v="170"/>
    <x v="1"/>
    <x v="0"/>
    <x v="0"/>
    <x v="260"/>
  </r>
  <r>
    <x v="261"/>
    <x v="1"/>
    <s v="2025-01-18"/>
    <x v="4"/>
    <s v="Explore the latest image on Myntra! Trendy styles await."/>
    <n v="1206"/>
    <n v="238"/>
    <n v="36"/>
    <n v="9648"/>
    <n v="9417"/>
    <n v="237"/>
    <x v="2"/>
    <x v="0"/>
    <x v="4"/>
    <x v="261"/>
  </r>
  <r>
    <x v="262"/>
    <x v="2"/>
    <s v="2024-08-20"/>
    <x v="0"/>
    <s v="Explore the latest reel on Myntra! Trendy styles await."/>
    <n v="2603"/>
    <n v="690"/>
    <n v="205"/>
    <n v="13015"/>
    <n v="12130"/>
    <n v="20"/>
    <x v="0"/>
    <x v="3"/>
    <x v="0"/>
    <x v="262"/>
  </r>
  <r>
    <x v="263"/>
    <x v="0"/>
    <s v="2025-01-30"/>
    <x v="4"/>
    <s v="Explore the latest image on Myntra! Trendy styles await."/>
    <n v="59"/>
    <n v="163"/>
    <n v="93"/>
    <n v="590"/>
    <n v="475"/>
    <n v="293"/>
    <x v="3"/>
    <x v="3"/>
    <x v="0"/>
    <x v="263"/>
  </r>
  <r>
    <x v="264"/>
    <x v="0"/>
    <s v="2025-02-20"/>
    <x v="3"/>
    <s v="Explore the latest carousel on Myntra! Trendy styles await."/>
    <n v="1877"/>
    <n v="745"/>
    <n v="225"/>
    <n v="11262"/>
    <n v="10967"/>
    <n v="41"/>
    <x v="0"/>
    <x v="2"/>
    <x v="1"/>
    <x v="264"/>
  </r>
  <r>
    <x v="265"/>
    <x v="3"/>
    <s v="2024-11-25"/>
    <x v="2"/>
    <s v="Explore the latest story on Myntra! Trendy styles await."/>
    <n v="4182"/>
    <n v="640"/>
    <n v="240"/>
    <n v="50184"/>
    <n v="49351"/>
    <n v="10"/>
    <x v="2"/>
    <x v="0"/>
    <x v="4"/>
    <x v="265"/>
  </r>
  <r>
    <x v="266"/>
    <x v="0"/>
    <s v="2024-10-04"/>
    <x v="0"/>
    <s v="Explore the latest reel on Myntra! Trendy styles await."/>
    <n v="4187"/>
    <n v="66"/>
    <n v="31"/>
    <n v="66992"/>
    <n v="66614"/>
    <n v="62"/>
    <x v="3"/>
    <x v="2"/>
    <x v="0"/>
    <x v="266"/>
  </r>
  <r>
    <x v="267"/>
    <x v="2"/>
    <s v="2025-04-13"/>
    <x v="0"/>
    <s v="Explore the latest reel on Myntra! Trendy styles await."/>
    <n v="4579"/>
    <n v="125"/>
    <n v="300"/>
    <n v="59527"/>
    <n v="59400"/>
    <n v="269"/>
    <x v="0"/>
    <x v="2"/>
    <x v="2"/>
    <x v="267"/>
  </r>
  <r>
    <x v="268"/>
    <x v="2"/>
    <s v="2024-11-05"/>
    <x v="5"/>
    <s v="Explore the latest video on Myntra! Trendy styles await."/>
    <n v="4561"/>
    <n v="51"/>
    <n v="441"/>
    <n v="22805"/>
    <n v="21890"/>
    <n v="45"/>
    <x v="1"/>
    <x v="2"/>
    <x v="0"/>
    <x v="268"/>
  </r>
  <r>
    <x v="269"/>
    <x v="1"/>
    <s v="2025-01-15"/>
    <x v="0"/>
    <s v="Explore the latest reel on Myntra! Trendy styles await."/>
    <n v="3774"/>
    <n v="239"/>
    <n v="39"/>
    <n v="60384"/>
    <n v="59490"/>
    <n v="241"/>
    <x v="2"/>
    <x v="4"/>
    <x v="0"/>
    <x v="269"/>
  </r>
  <r>
    <x v="270"/>
    <x v="2"/>
    <s v="2024-10-17"/>
    <x v="5"/>
    <s v="Explore the latest video on Myntra! Trendy styles await."/>
    <n v="3575"/>
    <n v="749"/>
    <n v="111"/>
    <n v="21450"/>
    <n v="20785"/>
    <n v="195"/>
    <x v="2"/>
    <x v="4"/>
    <x v="0"/>
    <x v="270"/>
  </r>
  <r>
    <x v="271"/>
    <x v="2"/>
    <s v="2025-03-27"/>
    <x v="1"/>
    <s v="Explore the latest text on Myntra! Trendy styles await."/>
    <n v="4941"/>
    <n v="414"/>
    <n v="266"/>
    <n v="39528"/>
    <n v="39154"/>
    <n v="217"/>
    <x v="1"/>
    <x v="0"/>
    <x v="0"/>
    <x v="271"/>
  </r>
  <r>
    <x v="272"/>
    <x v="1"/>
    <s v="2024-10-12"/>
    <x v="2"/>
    <s v="Explore the latest story on Myntra! Trendy styles await."/>
    <n v="3641"/>
    <n v="226"/>
    <n v="46"/>
    <n v="40051"/>
    <n v="39319"/>
    <n v="296"/>
    <x v="1"/>
    <x v="3"/>
    <x v="0"/>
    <x v="272"/>
  </r>
  <r>
    <x v="273"/>
    <x v="0"/>
    <s v="2025-01-01"/>
    <x v="3"/>
    <s v="Explore the latest carousel on Myntra! Trendy styles await."/>
    <n v="3535"/>
    <n v="494"/>
    <n v="152"/>
    <n v="53025"/>
    <n v="52791"/>
    <n v="44"/>
    <x v="1"/>
    <x v="3"/>
    <x v="4"/>
    <x v="273"/>
  </r>
  <r>
    <x v="274"/>
    <x v="3"/>
    <s v="2024-08-05"/>
    <x v="0"/>
    <s v="Explore the latest reel on Myntra! Trendy styles await."/>
    <n v="1741"/>
    <n v="831"/>
    <n v="345"/>
    <n v="17410"/>
    <n v="16844"/>
    <n v="58"/>
    <x v="3"/>
    <x v="1"/>
    <x v="3"/>
    <x v="274"/>
  </r>
  <r>
    <x v="275"/>
    <x v="0"/>
    <s v="2024-06-07"/>
    <x v="3"/>
    <s v="Explore the latest carousel on Myntra! Trendy styles await."/>
    <n v="1556"/>
    <n v="195"/>
    <n v="131"/>
    <n v="9336"/>
    <n v="8875"/>
    <n v="137"/>
    <x v="1"/>
    <x v="1"/>
    <x v="0"/>
    <x v="275"/>
  </r>
  <r>
    <x v="276"/>
    <x v="3"/>
    <s v="2025-04-06"/>
    <x v="4"/>
    <s v="Explore the latest image on Myntra! Trendy styles await."/>
    <n v="4236"/>
    <n v="711"/>
    <n v="298"/>
    <n v="21180"/>
    <n v="20516"/>
    <n v="238"/>
    <x v="3"/>
    <x v="3"/>
    <x v="1"/>
    <x v="276"/>
  </r>
  <r>
    <x v="277"/>
    <x v="0"/>
    <s v="2024-11-26"/>
    <x v="1"/>
    <s v="Explore the latest text on Myntra! Trendy styles await."/>
    <n v="4516"/>
    <n v="836"/>
    <n v="169"/>
    <n v="49676"/>
    <n v="49257"/>
    <n v="282"/>
    <x v="0"/>
    <x v="3"/>
    <x v="0"/>
    <x v="277"/>
  </r>
  <r>
    <x v="278"/>
    <x v="1"/>
    <s v="2024-09-02"/>
    <x v="4"/>
    <s v="Explore the latest image on Myntra! Trendy styles await."/>
    <n v="4905"/>
    <n v="845"/>
    <n v="129"/>
    <n v="98100"/>
    <n v="97772"/>
    <n v="279"/>
    <x v="3"/>
    <x v="3"/>
    <x v="0"/>
    <x v="278"/>
  </r>
  <r>
    <x v="279"/>
    <x v="1"/>
    <s v="2024-10-21"/>
    <x v="5"/>
    <s v="Explore the latest video on Myntra! Trendy styles await."/>
    <n v="4275"/>
    <n v="680"/>
    <n v="385"/>
    <n v="64125"/>
    <n v="63650"/>
    <n v="104"/>
    <x v="3"/>
    <x v="2"/>
    <x v="0"/>
    <x v="279"/>
  </r>
  <r>
    <x v="280"/>
    <x v="1"/>
    <s v="2025-03-22"/>
    <x v="4"/>
    <s v="Explore the latest image on Myntra! Trendy styles await."/>
    <n v="3166"/>
    <n v="90"/>
    <n v="341"/>
    <n v="56988"/>
    <n v="56125"/>
    <n v="135"/>
    <x v="1"/>
    <x v="1"/>
    <x v="4"/>
    <x v="280"/>
  </r>
  <r>
    <x v="281"/>
    <x v="2"/>
    <s v="2024-10-03"/>
    <x v="5"/>
    <s v="Explore the latest video on Myntra! Trendy styles await."/>
    <n v="1488"/>
    <n v="417"/>
    <n v="168"/>
    <n v="19344"/>
    <n v="18395"/>
    <n v="30"/>
    <x v="0"/>
    <x v="0"/>
    <x v="0"/>
    <x v="281"/>
  </r>
  <r>
    <x v="282"/>
    <x v="0"/>
    <s v="2025-05-09"/>
    <x v="0"/>
    <s v="Explore the latest reel on Myntra! Trendy styles await."/>
    <n v="3367"/>
    <n v="302"/>
    <n v="57"/>
    <n v="63973"/>
    <n v="63789"/>
    <n v="157"/>
    <x v="2"/>
    <x v="3"/>
    <x v="2"/>
    <x v="282"/>
  </r>
  <r>
    <x v="283"/>
    <x v="0"/>
    <s v="2024-09-17"/>
    <x v="1"/>
    <s v="Explore the latest text on Myntra! Trendy styles await."/>
    <n v="571"/>
    <n v="190"/>
    <n v="352"/>
    <n v="9707"/>
    <n v="9418"/>
    <n v="231"/>
    <x v="1"/>
    <x v="4"/>
    <x v="0"/>
    <x v="283"/>
  </r>
  <r>
    <x v="284"/>
    <x v="1"/>
    <s v="2024-07-18"/>
    <x v="1"/>
    <s v="Explore the latest text on Myntra! Trendy styles await."/>
    <n v="4021"/>
    <n v="794"/>
    <n v="77"/>
    <n v="36189"/>
    <n v="35505"/>
    <n v="174"/>
    <x v="0"/>
    <x v="4"/>
    <x v="4"/>
    <x v="284"/>
  </r>
  <r>
    <x v="285"/>
    <x v="1"/>
    <s v="2024-09-25"/>
    <x v="5"/>
    <s v="Explore the latest video on Myntra! Trendy styles await."/>
    <n v="3389"/>
    <n v="344"/>
    <n v="229"/>
    <n v="20334"/>
    <n v="19443"/>
    <n v="228"/>
    <x v="1"/>
    <x v="1"/>
    <x v="1"/>
    <x v="285"/>
  </r>
  <r>
    <x v="286"/>
    <x v="2"/>
    <s v="2024-08-15"/>
    <x v="0"/>
    <s v="Explore the latest reel on Myntra! Trendy styles await."/>
    <n v="1164"/>
    <n v="616"/>
    <n v="324"/>
    <n v="6984"/>
    <n v="6636"/>
    <n v="82"/>
    <x v="2"/>
    <x v="1"/>
    <x v="5"/>
    <x v="286"/>
  </r>
  <r>
    <x v="287"/>
    <x v="1"/>
    <s v="2025-04-17"/>
    <x v="3"/>
    <s v="Explore the latest carousel on Myntra! Trendy styles await."/>
    <n v="4780"/>
    <n v="691"/>
    <n v="380"/>
    <n v="86040"/>
    <n v="85743"/>
    <n v="262"/>
    <x v="2"/>
    <x v="1"/>
    <x v="3"/>
    <x v="287"/>
  </r>
  <r>
    <x v="288"/>
    <x v="3"/>
    <s v="2024-11-28"/>
    <x v="3"/>
    <s v="Explore the latest carousel on Myntra! Trendy styles await."/>
    <n v="2751"/>
    <n v="33"/>
    <n v="430"/>
    <n v="44016"/>
    <n v="43415"/>
    <n v="129"/>
    <x v="1"/>
    <x v="3"/>
    <x v="4"/>
    <x v="288"/>
  </r>
  <r>
    <x v="289"/>
    <x v="2"/>
    <s v="2024-12-20"/>
    <x v="3"/>
    <s v="Explore the latest carousel on Myntra! Trendy styles await."/>
    <n v="2107"/>
    <n v="550"/>
    <n v="349"/>
    <n v="35819"/>
    <n v="35340"/>
    <n v="191"/>
    <x v="2"/>
    <x v="3"/>
    <x v="0"/>
    <x v="289"/>
  </r>
  <r>
    <x v="290"/>
    <x v="3"/>
    <s v="2024-11-06"/>
    <x v="5"/>
    <s v="Explore the latest video on Myntra! Trendy styles await."/>
    <n v="4663"/>
    <n v="145"/>
    <n v="225"/>
    <n v="69945"/>
    <n v="69596"/>
    <n v="35"/>
    <x v="1"/>
    <x v="1"/>
    <x v="0"/>
    <x v="290"/>
  </r>
  <r>
    <x v="291"/>
    <x v="3"/>
    <s v="2024-11-17"/>
    <x v="1"/>
    <s v="Explore the latest text on Myntra! Trendy styles await."/>
    <n v="880"/>
    <n v="297"/>
    <n v="345"/>
    <n v="12320"/>
    <n v="11978"/>
    <n v="238"/>
    <x v="1"/>
    <x v="0"/>
    <x v="0"/>
    <x v="291"/>
  </r>
  <r>
    <x v="292"/>
    <x v="3"/>
    <s v="2025-05-14"/>
    <x v="1"/>
    <s v="Explore the latest text on Myntra! Trendy styles await."/>
    <n v="2634"/>
    <n v="726"/>
    <n v="241"/>
    <n v="28974"/>
    <n v="28102"/>
    <n v="277"/>
    <x v="2"/>
    <x v="2"/>
    <x v="0"/>
    <x v="292"/>
  </r>
  <r>
    <x v="293"/>
    <x v="3"/>
    <s v="2024-06-19"/>
    <x v="3"/>
    <s v="Explore the latest carousel on Myntra! Trendy styles await."/>
    <n v="4731"/>
    <n v="173"/>
    <n v="276"/>
    <n v="28386"/>
    <n v="28185"/>
    <n v="89"/>
    <x v="3"/>
    <x v="3"/>
    <x v="2"/>
    <x v="293"/>
  </r>
  <r>
    <x v="294"/>
    <x v="0"/>
    <s v="2025-05-06"/>
    <x v="4"/>
    <s v="Explore the latest image on Myntra! Trendy styles await."/>
    <n v="1952"/>
    <n v="344"/>
    <n v="287"/>
    <n v="15616"/>
    <n v="15403"/>
    <n v="235"/>
    <x v="2"/>
    <x v="0"/>
    <x v="2"/>
    <x v="294"/>
  </r>
  <r>
    <x v="295"/>
    <x v="0"/>
    <s v="2025-02-11"/>
    <x v="5"/>
    <s v="Explore the latest video on Myntra! Trendy styles await."/>
    <n v="3440"/>
    <n v="13"/>
    <n v="20"/>
    <n v="58480"/>
    <n v="58146"/>
    <n v="210"/>
    <x v="0"/>
    <x v="1"/>
    <x v="3"/>
    <x v="295"/>
  </r>
  <r>
    <x v="296"/>
    <x v="0"/>
    <s v="2024-12-24"/>
    <x v="1"/>
    <s v="Explore the latest text on Myntra! Trendy styles await."/>
    <n v="2166"/>
    <n v="354"/>
    <n v="117"/>
    <n v="10830"/>
    <n v="10245"/>
    <n v="24"/>
    <x v="0"/>
    <x v="2"/>
    <x v="5"/>
    <x v="296"/>
  </r>
  <r>
    <x v="297"/>
    <x v="3"/>
    <s v="2024-10-24"/>
    <x v="4"/>
    <s v="Explore the latest image on Myntra! Trendy styles await."/>
    <n v="4303"/>
    <n v="451"/>
    <n v="286"/>
    <n v="86060"/>
    <n v="85823"/>
    <n v="14"/>
    <x v="1"/>
    <x v="0"/>
    <x v="0"/>
    <x v="297"/>
  </r>
  <r>
    <x v="298"/>
    <x v="3"/>
    <s v="2024-08-26"/>
    <x v="4"/>
    <s v="Explore the latest image on Myntra! Trendy styles await."/>
    <n v="2581"/>
    <n v="517"/>
    <n v="117"/>
    <n v="23229"/>
    <n v="22331"/>
    <n v="70"/>
    <x v="1"/>
    <x v="0"/>
    <x v="4"/>
    <x v="298"/>
  </r>
  <r>
    <x v="299"/>
    <x v="0"/>
    <s v="2024-08-31"/>
    <x v="3"/>
    <s v="Explore the latest carousel on Myntra! Trendy styles await."/>
    <n v="4494"/>
    <n v="717"/>
    <n v="45"/>
    <n v="62916"/>
    <n v="62688"/>
    <n v="191"/>
    <x v="0"/>
    <x v="1"/>
    <x v="0"/>
    <x v="2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s v="Twitter"/>
    <d v="2024-12-23T00:00:00"/>
    <s v="Reel"/>
    <s v="Explore the latest reel on Myntra! Trendy styles await."/>
    <n v="1461"/>
    <n v="184"/>
    <n v="344"/>
    <n v="21915"/>
    <n v="21675"/>
    <n v="15"/>
    <s v="FashionUpgrade"/>
    <n v="1989"/>
    <x v="0"/>
  </r>
  <r>
    <x v="1"/>
    <s v="Twitter"/>
    <d v="2025-04-03T00:00:00"/>
    <s v="Text"/>
    <s v="Explore the latest text on Myntra! Trendy styles await."/>
    <n v="4054"/>
    <n v="389"/>
    <n v="493"/>
    <n v="64864"/>
    <n v="64383"/>
    <n v="117"/>
    <s v="EndOfSeasonSale"/>
    <n v="4936"/>
    <x v="1"/>
  </r>
  <r>
    <x v="2"/>
    <s v="YouTube"/>
    <d v="2025-05-12T00:00:00"/>
    <s v="Reel"/>
    <s v="Explore the latest reel on Myntra! Trendy styles await."/>
    <n v="2795"/>
    <n v="105"/>
    <n v="49"/>
    <n v="53105"/>
    <n v="52307"/>
    <n v="204"/>
    <s v="FashionUpgrade"/>
    <n v="2949"/>
    <x v="1"/>
  </r>
  <r>
    <x v="2"/>
    <s v="YouTube"/>
    <d v="2025-05-12T00:00:00"/>
    <s v="Reel"/>
    <s v="Explore the latest reel on Myntra! Trendy styles await."/>
    <n v="2795"/>
    <n v="105"/>
    <n v="49"/>
    <n v="53105"/>
    <n v="52307"/>
    <n v="204"/>
    <s v="FashionUpgrade"/>
    <n v="2949"/>
    <x v="0"/>
  </r>
  <r>
    <x v="3"/>
    <s v="Instagram"/>
    <d v="2024-08-12T00:00:00"/>
    <s v="Story"/>
    <s v="Explore the latest story on Myntra! Trendy styles await."/>
    <n v="2404"/>
    <n v="363"/>
    <n v="138"/>
    <n v="19232"/>
    <n v="18636"/>
    <n v="128"/>
    <s v="FashionUpgrade"/>
    <n v="2905"/>
    <x v="0"/>
  </r>
  <r>
    <x v="4"/>
    <s v="YouTube"/>
    <d v="2024-06-26T00:00:00"/>
    <s v="Reel"/>
    <s v="Explore the latest reel on Myntra! Trendy styles await."/>
    <n v="3557"/>
    <n v="687"/>
    <n v="424"/>
    <n v="71140"/>
    <n v="70701"/>
    <n v="224"/>
    <s v="MyntraFestiveEdit"/>
    <n v="4668"/>
    <x v="2"/>
  </r>
  <r>
    <x v="4"/>
    <s v="YouTube"/>
    <d v="2024-06-26T00:00:00"/>
    <s v="Reel"/>
    <s v="Explore the latest reel on Myntra! Trendy styles await."/>
    <n v="3557"/>
    <n v="687"/>
    <n v="424"/>
    <n v="71140"/>
    <n v="70701"/>
    <n v="224"/>
    <s v="MyntraFestiveEdit"/>
    <n v="4668"/>
    <x v="1"/>
  </r>
  <r>
    <x v="5"/>
    <s v="Facebook"/>
    <d v="2024-10-31T00:00:00"/>
    <s v="Carousel"/>
    <s v="Explore the latest carousel on Myntra! Trendy styles await."/>
    <n v="2945"/>
    <n v="930"/>
    <n v="355"/>
    <n v="23560"/>
    <n v="23275"/>
    <n v="256"/>
    <s v="EndOfSeasonSale"/>
    <n v="4230"/>
    <x v="3"/>
  </r>
  <r>
    <x v="6"/>
    <s v="Twitter"/>
    <d v="2024-06-24T00:00:00"/>
    <s v="Carousel"/>
    <s v="Explore the latest carousel on Myntra! Trendy styles await."/>
    <n v="3860"/>
    <n v="201"/>
    <n v="279"/>
    <n v="61760"/>
    <n v="61660"/>
    <n v="235"/>
    <s v="MyntraFestiveEdit"/>
    <n v="4340"/>
    <x v="3"/>
  </r>
  <r>
    <x v="7"/>
    <s v="YouTube"/>
    <d v="2024-07-13T00:00:00"/>
    <s v="Image"/>
    <s v="Explore the latest image on Myntra! Trendy styles await."/>
    <n v="3929"/>
    <n v="262"/>
    <n v="278"/>
    <n v="43219"/>
    <n v="42841"/>
    <n v="39"/>
    <s v="MyntraFestiveEdit"/>
    <n v="4469"/>
    <x v="1"/>
  </r>
  <r>
    <x v="7"/>
    <s v="YouTube"/>
    <d v="2024-07-13T00:00:00"/>
    <s v="Image"/>
    <s v="Explore the latest image on Myntra! Trendy styles await."/>
    <n v="3929"/>
    <n v="262"/>
    <n v="278"/>
    <n v="43219"/>
    <n v="42841"/>
    <n v="39"/>
    <s v="MyntraFestiveEdit"/>
    <n v="4469"/>
    <x v="0"/>
  </r>
  <r>
    <x v="8"/>
    <s v="Facebook"/>
    <d v="2024-08-30T00:00:00"/>
    <s v="Text"/>
    <s v="Explore the latest text on Myntra! Trendy styles await."/>
    <n v="3784"/>
    <n v="808"/>
    <n v="404"/>
    <n v="56760"/>
    <n v="56343"/>
    <n v="131"/>
    <s v="MyntraFestiveEdit"/>
    <n v="4996"/>
    <x v="1"/>
  </r>
  <r>
    <x v="8"/>
    <s v="Facebook"/>
    <d v="2024-08-30T00:00:00"/>
    <s v="Text"/>
    <s v="Explore the latest text on Myntra! Trendy styles await."/>
    <n v="3784"/>
    <n v="808"/>
    <n v="404"/>
    <n v="56760"/>
    <n v="56343"/>
    <n v="131"/>
    <s v="MyntraFestiveEdit"/>
    <n v="4996"/>
    <x v="0"/>
  </r>
  <r>
    <x v="9"/>
    <s v="Facebook"/>
    <d v="2025-03-11T00:00:00"/>
    <s v="Image"/>
    <s v="Explore the latest image on Myntra! Trendy styles await."/>
    <n v="4241"/>
    <n v="902"/>
    <n v="47"/>
    <n v="72097"/>
    <n v="71598"/>
    <n v="167"/>
    <s v="StyleRevolution"/>
    <n v="5190"/>
    <x v="3"/>
  </r>
  <r>
    <x v="10"/>
    <s v="Instagram"/>
    <d v="2025-02-02T00:00:00"/>
    <s v="Story"/>
    <s v="Explore the latest story on Myntra! Trendy styles await."/>
    <n v="1792"/>
    <n v="614"/>
    <n v="497"/>
    <n v="25088"/>
    <n v="24675"/>
    <n v="65"/>
    <s v="FashionUpgrade"/>
    <n v="2903"/>
    <x v="2"/>
  </r>
  <r>
    <x v="11"/>
    <s v="Facebook"/>
    <d v="2024-07-21T00:00:00"/>
    <s v="Reel"/>
    <s v="Explore the latest reel on Myntra! Trendy styles await."/>
    <n v="1946"/>
    <n v="686"/>
    <n v="377"/>
    <n v="23352"/>
    <n v="22982"/>
    <n v="213"/>
    <s v="MyntraFestiveEdit"/>
    <n v="3009"/>
    <x v="2"/>
  </r>
  <r>
    <x v="11"/>
    <s v="Facebook"/>
    <d v="2024-07-21T00:00:00"/>
    <s v="Reel"/>
    <s v="Explore the latest reel on Myntra! Trendy styles await."/>
    <n v="1946"/>
    <n v="686"/>
    <n v="377"/>
    <n v="23352"/>
    <n v="22982"/>
    <n v="213"/>
    <s v="MyntraFestiveEdit"/>
    <n v="3009"/>
    <x v="0"/>
  </r>
  <r>
    <x v="12"/>
    <s v="YouTube"/>
    <d v="2024-11-18T00:00:00"/>
    <s v="Carousel"/>
    <s v="Explore the latest carousel on Myntra! Trendy styles await."/>
    <n v="1171"/>
    <n v="286"/>
    <n v="231"/>
    <n v="22249"/>
    <n v="21282"/>
    <n v="114"/>
    <s v="StyleRevolution"/>
    <n v="1688"/>
    <x v="1"/>
  </r>
  <r>
    <x v="13"/>
    <s v="Facebook"/>
    <d v="2025-02-16T00:00:00"/>
    <s v="Story"/>
    <s v="Explore the latest story on Myntra! Trendy styles await."/>
    <n v="4242"/>
    <n v="555"/>
    <n v="131"/>
    <n v="33936"/>
    <n v="33802"/>
    <n v="265"/>
    <s v="MyntraFestiveEdit"/>
    <n v="4928"/>
    <x v="0"/>
  </r>
  <r>
    <x v="13"/>
    <s v="Facebook"/>
    <d v="2025-02-16T00:00:00"/>
    <s v="Story"/>
    <s v="Explore the latest story on Myntra! Trendy styles await."/>
    <n v="4242"/>
    <n v="555"/>
    <n v="131"/>
    <n v="33936"/>
    <n v="33802"/>
    <n v="265"/>
    <s v="MyntraFestiveEdit"/>
    <n v="4928"/>
    <x v="1"/>
  </r>
  <r>
    <x v="14"/>
    <s v="Facebook"/>
    <d v="2024-10-24T00:00:00"/>
    <s v="Video"/>
    <s v="Explore the latest video on Myntra! Trendy styles await."/>
    <n v="3888"/>
    <n v="604"/>
    <n v="128"/>
    <n v="77760"/>
    <n v="77167"/>
    <n v="20"/>
    <s v="FashionUpgrade"/>
    <n v="4620"/>
    <x v="1"/>
  </r>
  <r>
    <x v="14"/>
    <s v="Facebook"/>
    <d v="2024-10-24T00:00:00"/>
    <s v="Video"/>
    <s v="Explore the latest video on Myntra! Trendy styles await."/>
    <n v="3888"/>
    <n v="604"/>
    <n v="128"/>
    <n v="77760"/>
    <n v="77167"/>
    <n v="20"/>
    <s v="FashionUpgrade"/>
    <n v="4620"/>
    <x v="4"/>
  </r>
  <r>
    <x v="15"/>
    <s v="Facebook"/>
    <d v="2024-08-26T00:00:00"/>
    <s v="Text"/>
    <s v="Explore the latest text on Myntra! Trendy styles await."/>
    <n v="3452"/>
    <n v="377"/>
    <n v="360"/>
    <n v="55232"/>
    <n v="55075"/>
    <n v="87"/>
    <s v="MyntraFestiveEdit"/>
    <n v="4189"/>
    <x v="0"/>
  </r>
  <r>
    <x v="15"/>
    <s v="Facebook"/>
    <d v="2024-08-26T00:00:00"/>
    <s v="Text"/>
    <s v="Explore the latest text on Myntra! Trendy styles await."/>
    <n v="3452"/>
    <n v="377"/>
    <n v="360"/>
    <n v="55232"/>
    <n v="55075"/>
    <n v="87"/>
    <s v="MyntraFestiveEdit"/>
    <n v="4189"/>
    <x v="4"/>
  </r>
  <r>
    <x v="16"/>
    <s v="Facebook"/>
    <d v="2025-05-05T00:00:00"/>
    <s v="Text"/>
    <s v="Explore the latest text on Myntra! Trendy styles await."/>
    <n v="4441"/>
    <n v="511"/>
    <n v="70"/>
    <n v="53292"/>
    <n v="53082"/>
    <n v="159"/>
    <s v="MyntraFestiveEdit"/>
    <n v="5022"/>
    <x v="4"/>
  </r>
  <r>
    <x v="17"/>
    <s v="Instagram"/>
    <d v="2024-08-19T00:00:00"/>
    <s v="Reel"/>
    <s v="Explore the latest reel on Myntra! Trendy styles await."/>
    <n v="3000"/>
    <n v="382"/>
    <n v="325"/>
    <n v="36000"/>
    <n v="35819"/>
    <n v="19"/>
    <s v="EndOfSeasonSale"/>
    <n v="3707"/>
    <x v="2"/>
  </r>
  <r>
    <x v="18"/>
    <s v="Instagram"/>
    <d v="2024-06-23T00:00:00"/>
    <s v="Video"/>
    <s v="Explore the latest video on Myntra! Trendy styles await."/>
    <n v="1071"/>
    <n v="519"/>
    <n v="22"/>
    <n v="16065"/>
    <n v="15865"/>
    <n v="103"/>
    <s v="MyntraFestiveEdit"/>
    <n v="1612"/>
    <x v="0"/>
  </r>
  <r>
    <x v="18"/>
    <s v="Instagram"/>
    <d v="2024-06-23T00:00:00"/>
    <s v="Video"/>
    <s v="Explore the latest video on Myntra! Trendy styles await."/>
    <n v="1071"/>
    <n v="519"/>
    <n v="22"/>
    <n v="16065"/>
    <n v="15865"/>
    <n v="103"/>
    <s v="MyntraFestiveEdit"/>
    <n v="1612"/>
    <x v="2"/>
  </r>
  <r>
    <x v="19"/>
    <s v="Instagram"/>
    <d v="2024-09-09T00:00:00"/>
    <s v="Carousel"/>
    <s v="Explore the latest carousel on Myntra! Trendy styles await."/>
    <n v="4054"/>
    <n v="488"/>
    <n v="373"/>
    <n v="77026"/>
    <n v="76881"/>
    <n v="25"/>
    <s v="MyntraFestiveEdit"/>
    <n v="4915"/>
    <x v="1"/>
  </r>
  <r>
    <x v="19"/>
    <s v="Instagram"/>
    <d v="2024-09-09T00:00:00"/>
    <s v="Carousel"/>
    <s v="Explore the latest carousel on Myntra! Trendy styles await."/>
    <n v="4054"/>
    <n v="488"/>
    <n v="373"/>
    <n v="77026"/>
    <n v="76881"/>
    <n v="25"/>
    <s v="MyntraFestiveEdit"/>
    <n v="4915"/>
    <x v="0"/>
  </r>
  <r>
    <x v="20"/>
    <s v="Instagram"/>
    <d v="2025-01-04T00:00:00"/>
    <s v="Reel"/>
    <s v="Explore the latest reel on Myntra! Trendy styles await."/>
    <n v="4838"/>
    <n v="640"/>
    <n v="128"/>
    <n v="72570"/>
    <n v="72396"/>
    <n v="83"/>
    <s v="MyntraFestiveEdit"/>
    <n v="5606"/>
    <x v="2"/>
  </r>
  <r>
    <x v="20"/>
    <s v="Instagram"/>
    <d v="2025-01-04T00:00:00"/>
    <s v="Reel"/>
    <s v="Explore the latest reel on Myntra! Trendy styles await."/>
    <n v="4838"/>
    <n v="640"/>
    <n v="128"/>
    <n v="72570"/>
    <n v="72396"/>
    <n v="83"/>
    <s v="MyntraFestiveEdit"/>
    <n v="5606"/>
    <x v="3"/>
  </r>
  <r>
    <x v="21"/>
    <s v="Facebook"/>
    <d v="2025-02-27T00:00:00"/>
    <s v="Text"/>
    <s v="Explore the latest text on Myntra! Trendy styles await."/>
    <n v="1570"/>
    <n v="187"/>
    <n v="260"/>
    <n v="25120"/>
    <n v="24613"/>
    <n v="133"/>
    <s v="StyleRevolution"/>
    <n v="2017"/>
    <x v="0"/>
  </r>
  <r>
    <x v="22"/>
    <s v="Facebook"/>
    <d v="2024-11-06T00:00:00"/>
    <s v="Video"/>
    <s v="Explore the latest video on Myntra! Trendy styles await."/>
    <n v="1606"/>
    <n v="547"/>
    <n v="316"/>
    <n v="32120"/>
    <n v="31736"/>
    <n v="225"/>
    <s v="MyntraFestiveEdit"/>
    <n v="2469"/>
    <x v="0"/>
  </r>
  <r>
    <x v="23"/>
    <s v="Facebook"/>
    <d v="2025-01-23T00:00:00"/>
    <s v="Video"/>
    <s v="Explore the latest video on Myntra! Trendy styles await."/>
    <n v="3961"/>
    <n v="761"/>
    <n v="131"/>
    <n v="67337"/>
    <n v="66615"/>
    <n v="161"/>
    <s v="EndOfSeasonSale"/>
    <n v="4853"/>
    <x v="3"/>
  </r>
  <r>
    <x v="24"/>
    <s v="Twitter"/>
    <d v="2025-04-10T00:00:00"/>
    <s v="Carousel"/>
    <s v="Explore the latest carousel on Myntra! Trendy styles await."/>
    <n v="3128"/>
    <n v="211"/>
    <n v="197"/>
    <n v="59432"/>
    <n v="59182"/>
    <n v="238"/>
    <s v="FashionUpgrade"/>
    <n v="3536"/>
    <x v="2"/>
  </r>
  <r>
    <x v="24"/>
    <s v="Twitter"/>
    <d v="2025-04-10T00:00:00"/>
    <s v="Carousel"/>
    <s v="Explore the latest carousel on Myntra! Trendy styles await."/>
    <n v="3128"/>
    <n v="211"/>
    <n v="197"/>
    <n v="59432"/>
    <n v="59182"/>
    <n v="238"/>
    <s v="FashionUpgrade"/>
    <n v="3536"/>
    <x v="0"/>
  </r>
  <r>
    <x v="25"/>
    <s v="YouTube"/>
    <d v="2025-04-05T00:00:00"/>
    <s v="Reel"/>
    <s v="Explore the latest reel on Myntra! Trendy styles await."/>
    <n v="3009"/>
    <n v="413"/>
    <n v="358"/>
    <n v="42126"/>
    <n v="41309"/>
    <n v="211"/>
    <s v="EndOfSeasonSale"/>
    <n v="3780"/>
    <x v="0"/>
  </r>
  <r>
    <x v="26"/>
    <s v="YouTube"/>
    <d v="2024-09-17T00:00:00"/>
    <s v="Text"/>
    <s v="Explore the latest text on Myntra! Trendy styles await."/>
    <n v="2076"/>
    <n v="195"/>
    <n v="104"/>
    <n v="33216"/>
    <n v="32244"/>
    <n v="51"/>
    <s v="StyleRevolution"/>
    <n v="2375"/>
    <x v="3"/>
  </r>
  <r>
    <x v="27"/>
    <s v="Instagram"/>
    <d v="2025-03-04T00:00:00"/>
    <s v="Video"/>
    <s v="Explore the latest video on Myntra! Trendy styles await."/>
    <n v="432"/>
    <n v="624"/>
    <n v="123"/>
    <n v="6912"/>
    <n v="6259"/>
    <n v="79"/>
    <s v="EndOfSeasonSale"/>
    <n v="1179"/>
    <x v="0"/>
  </r>
  <r>
    <x v="27"/>
    <s v="Instagram"/>
    <d v="2025-03-04T00:00:00"/>
    <s v="Video"/>
    <s v="Explore the latest video on Myntra! Trendy styles await."/>
    <n v="432"/>
    <n v="624"/>
    <n v="123"/>
    <n v="6912"/>
    <n v="6259"/>
    <n v="79"/>
    <s v="EndOfSeasonSale"/>
    <n v="1179"/>
    <x v="3"/>
  </r>
  <r>
    <x v="28"/>
    <s v="Instagram"/>
    <d v="2025-01-31T00:00:00"/>
    <s v="Carousel"/>
    <s v="Explore the latest carousel on Myntra! Trendy styles await."/>
    <n v="2566"/>
    <n v="118"/>
    <n v="37"/>
    <n v="12830"/>
    <n v="12264"/>
    <n v="221"/>
    <s v="MyntraFestiveEdit"/>
    <n v="2721"/>
    <x v="3"/>
  </r>
  <r>
    <x v="28"/>
    <s v="Instagram"/>
    <d v="2025-01-31T00:00:00"/>
    <s v="Carousel"/>
    <s v="Explore the latest carousel on Myntra! Trendy styles await."/>
    <n v="2566"/>
    <n v="118"/>
    <n v="37"/>
    <n v="12830"/>
    <n v="12264"/>
    <n v="221"/>
    <s v="MyntraFestiveEdit"/>
    <n v="2721"/>
    <x v="1"/>
  </r>
  <r>
    <x v="29"/>
    <s v="Instagram"/>
    <d v="2025-02-25T00:00:00"/>
    <s v="Video"/>
    <s v="Explore the latest video on Myntra! Trendy styles await."/>
    <n v="3095"/>
    <n v="39"/>
    <n v="78"/>
    <n v="55710"/>
    <n v="54808"/>
    <n v="93"/>
    <s v="StyleRevolution"/>
    <n v="3212"/>
    <x v="0"/>
  </r>
  <r>
    <x v="30"/>
    <s v="Instagram"/>
    <d v="2024-12-16T00:00:00"/>
    <s v="Text"/>
    <s v="Explore the latest text on Myntra! Trendy styles await."/>
    <n v="438"/>
    <n v="153"/>
    <n v="275"/>
    <n v="3066"/>
    <n v="2701"/>
    <n v="282"/>
    <s v="StyleRevolution"/>
    <n v="866"/>
    <x v="3"/>
  </r>
  <r>
    <x v="31"/>
    <s v="Twitter"/>
    <d v="2024-07-31T00:00:00"/>
    <s v="Carousel"/>
    <s v="Explore the latest carousel on Myntra! Trendy styles await."/>
    <n v="2278"/>
    <n v="10"/>
    <n v="321"/>
    <n v="13668"/>
    <n v="12676"/>
    <n v="275"/>
    <s v="StyleRevolution"/>
    <n v="2609"/>
    <x v="3"/>
  </r>
  <r>
    <x v="31"/>
    <s v="Twitter"/>
    <d v="2024-07-31T00:00:00"/>
    <s v="Carousel"/>
    <s v="Explore the latest carousel on Myntra! Trendy styles await."/>
    <n v="2278"/>
    <n v="10"/>
    <n v="321"/>
    <n v="13668"/>
    <n v="12676"/>
    <n v="275"/>
    <s v="StyleRevolution"/>
    <n v="2609"/>
    <x v="1"/>
  </r>
  <r>
    <x v="32"/>
    <s v="Facebook"/>
    <d v="2024-08-21T00:00:00"/>
    <s v="Image"/>
    <s v="Explore the latest image on Myntra! Trendy styles await."/>
    <n v="1407"/>
    <n v="400"/>
    <n v="351"/>
    <n v="16884"/>
    <n v="15954"/>
    <n v="113"/>
    <s v="MyntraFestiveEdit"/>
    <n v="2158"/>
    <x v="1"/>
  </r>
  <r>
    <x v="32"/>
    <s v="Facebook"/>
    <d v="2024-08-21T00:00:00"/>
    <s v="Image"/>
    <s v="Explore the latest image on Myntra! Trendy styles await."/>
    <n v="1407"/>
    <n v="400"/>
    <n v="351"/>
    <n v="16884"/>
    <n v="15954"/>
    <n v="113"/>
    <s v="MyntraFestiveEdit"/>
    <n v="2158"/>
    <x v="4"/>
  </r>
  <r>
    <x v="33"/>
    <s v="Facebook"/>
    <d v="2025-03-26T00:00:00"/>
    <s v="Text"/>
    <s v="Explore the latest text on Myntra! Trendy styles await."/>
    <n v="1652"/>
    <n v="89"/>
    <n v="357"/>
    <n v="29736"/>
    <n v="28771"/>
    <n v="215"/>
    <s v="EndOfSeasonSale"/>
    <n v="2098"/>
    <x v="3"/>
  </r>
  <r>
    <x v="33"/>
    <s v="Facebook"/>
    <d v="2025-03-26T00:00:00"/>
    <s v="Text"/>
    <s v="Explore the latest text on Myntra! Trendy styles await."/>
    <n v="1652"/>
    <n v="89"/>
    <n v="357"/>
    <n v="29736"/>
    <n v="28771"/>
    <n v="215"/>
    <s v="EndOfSeasonSale"/>
    <n v="2098"/>
    <x v="4"/>
  </r>
  <r>
    <x v="34"/>
    <s v="Instagram"/>
    <d v="2024-11-30T00:00:00"/>
    <s v="Video"/>
    <s v="Explore the latest video on Myntra! Trendy styles await."/>
    <n v="3775"/>
    <n v="16"/>
    <n v="239"/>
    <n v="33975"/>
    <n v="33310"/>
    <n v="271"/>
    <s v="MyntraFestiveEdit"/>
    <n v="4030"/>
    <x v="2"/>
  </r>
  <r>
    <x v="34"/>
    <s v="Instagram"/>
    <d v="2024-11-30T00:00:00"/>
    <s v="Video"/>
    <s v="Explore the latest video on Myntra! Trendy styles await."/>
    <n v="3775"/>
    <n v="16"/>
    <n v="239"/>
    <n v="33975"/>
    <n v="33310"/>
    <n v="271"/>
    <s v="MyntraFestiveEdit"/>
    <n v="4030"/>
    <x v="0"/>
  </r>
  <r>
    <x v="35"/>
    <s v="Instagram"/>
    <d v="2025-04-19T00:00:00"/>
    <s v="Story"/>
    <s v="Explore the latest story on Myntra! Trendy styles await."/>
    <n v="4518"/>
    <n v="285"/>
    <n v="383"/>
    <n v="67770"/>
    <n v="67621"/>
    <n v="31"/>
    <s v="EndOfSeasonSale"/>
    <n v="5186"/>
    <x v="4"/>
  </r>
  <r>
    <x v="36"/>
    <s v="Facebook"/>
    <d v="2025-01-06T00:00:00"/>
    <s v="Carousel"/>
    <s v="Explore the latest carousel on Myntra! Trendy styles await."/>
    <n v="3024"/>
    <n v="925"/>
    <n v="350"/>
    <n v="24192"/>
    <n v="23518"/>
    <n v="36"/>
    <s v="MyntraFestiveEdit"/>
    <n v="4299"/>
    <x v="0"/>
  </r>
  <r>
    <x v="37"/>
    <s v="YouTube"/>
    <d v="2025-02-17T00:00:00"/>
    <s v="Reel"/>
    <s v="Explore the latest reel on Myntra! Trendy styles await."/>
    <n v="3138"/>
    <n v="123"/>
    <n v="291"/>
    <n v="28242"/>
    <n v="27550"/>
    <n v="87"/>
    <s v="StyleRevolution"/>
    <n v="3552"/>
    <x v="4"/>
  </r>
  <r>
    <x v="38"/>
    <s v="Facebook"/>
    <d v="2024-11-25T00:00:00"/>
    <s v="Image"/>
    <s v="Explore the latest image on Myntra! Trendy styles await."/>
    <n v="3564"/>
    <n v="629"/>
    <n v="177"/>
    <n v="60588"/>
    <n v="59627"/>
    <n v="92"/>
    <s v="MyntraFestiveEdit"/>
    <n v="4370"/>
    <x v="4"/>
  </r>
  <r>
    <x v="38"/>
    <s v="Facebook"/>
    <d v="2024-11-25T00:00:00"/>
    <s v="Image"/>
    <s v="Explore the latest image on Myntra! Trendy styles await."/>
    <n v="3564"/>
    <n v="629"/>
    <n v="177"/>
    <n v="60588"/>
    <n v="59627"/>
    <n v="92"/>
    <s v="MyntraFestiveEdit"/>
    <n v="4370"/>
    <x v="0"/>
  </r>
  <r>
    <x v="39"/>
    <s v="Twitter"/>
    <d v="2025-03-07T00:00:00"/>
    <s v="Image"/>
    <s v="Explore the latest image on Myntra! Trendy styles await."/>
    <n v="4750"/>
    <n v="151"/>
    <n v="415"/>
    <n v="38000"/>
    <n v="37792"/>
    <n v="299"/>
    <s v="EndOfSeasonSale"/>
    <n v="5316"/>
    <x v="2"/>
  </r>
  <r>
    <x v="39"/>
    <s v="Twitter"/>
    <d v="2025-03-07T00:00:00"/>
    <s v="Image"/>
    <s v="Explore the latest image on Myntra! Trendy styles await."/>
    <n v="4750"/>
    <n v="151"/>
    <n v="415"/>
    <n v="38000"/>
    <n v="37792"/>
    <n v="299"/>
    <s v="EndOfSeasonSale"/>
    <n v="5316"/>
    <x v="0"/>
  </r>
  <r>
    <x v="40"/>
    <s v="Instagram"/>
    <d v="2025-03-08T00:00:00"/>
    <s v="Reel"/>
    <s v="Explore the latest reel on Myntra! Trendy styles await."/>
    <n v="456"/>
    <n v="629"/>
    <n v="428"/>
    <n v="8208"/>
    <n v="7377"/>
    <n v="205"/>
    <s v="MyntraFestiveEdit"/>
    <n v="1513"/>
    <x v="0"/>
  </r>
  <r>
    <x v="40"/>
    <s v="Instagram"/>
    <d v="2025-03-08T00:00:00"/>
    <s v="Reel"/>
    <s v="Explore the latest reel on Myntra! Trendy styles await."/>
    <n v="456"/>
    <n v="629"/>
    <n v="428"/>
    <n v="8208"/>
    <n v="7377"/>
    <n v="205"/>
    <s v="MyntraFestiveEdit"/>
    <n v="1513"/>
    <x v="4"/>
  </r>
  <r>
    <x v="41"/>
    <s v="YouTube"/>
    <d v="2025-03-05T00:00:00"/>
    <s v="Reel"/>
    <s v="Explore the latest reel on Myntra! Trendy styles await."/>
    <n v="1543"/>
    <n v="820"/>
    <n v="333"/>
    <n v="12344"/>
    <n v="11496"/>
    <n v="241"/>
    <s v="MyntraFestiveEdit"/>
    <n v="2696"/>
    <x v="2"/>
  </r>
  <r>
    <x v="42"/>
    <s v="Instagram"/>
    <d v="2024-12-14T00:00:00"/>
    <s v="Carousel"/>
    <s v="Explore the latest carousel on Myntra! Trendy styles await."/>
    <n v="2174"/>
    <n v="658"/>
    <n v="15"/>
    <n v="13044"/>
    <n v="12206"/>
    <n v="137"/>
    <s v="StyleRevolution"/>
    <n v="2847"/>
    <x v="0"/>
  </r>
  <r>
    <x v="42"/>
    <s v="Instagram"/>
    <d v="2024-12-14T00:00:00"/>
    <s v="Carousel"/>
    <s v="Explore the latest carousel on Myntra! Trendy styles await."/>
    <n v="2174"/>
    <n v="658"/>
    <n v="15"/>
    <n v="13044"/>
    <n v="12206"/>
    <n v="137"/>
    <s v="StyleRevolution"/>
    <n v="2847"/>
    <x v="1"/>
  </r>
  <r>
    <x v="43"/>
    <s v="Twitter"/>
    <d v="2025-03-02T00:00:00"/>
    <s v="Image"/>
    <s v="Explore the latest image on Myntra! Trendy styles await."/>
    <n v="2358"/>
    <n v="784"/>
    <n v="344"/>
    <n v="35370"/>
    <n v="34475"/>
    <n v="216"/>
    <s v="FashionUpgrade"/>
    <n v="3486"/>
    <x v="0"/>
  </r>
  <r>
    <x v="43"/>
    <s v="Twitter"/>
    <d v="2025-03-02T00:00:00"/>
    <s v="Image"/>
    <s v="Explore the latest image on Myntra! Trendy styles await."/>
    <n v="2358"/>
    <n v="784"/>
    <n v="344"/>
    <n v="35370"/>
    <n v="34475"/>
    <n v="216"/>
    <s v="FashionUpgrade"/>
    <n v="3486"/>
    <x v="2"/>
  </r>
  <r>
    <x v="44"/>
    <s v="Facebook"/>
    <d v="2024-11-01T00:00:00"/>
    <s v="Video"/>
    <s v="Explore the latest video on Myntra! Trendy styles await."/>
    <n v="3371"/>
    <n v="106"/>
    <n v="327"/>
    <n v="50565"/>
    <n v="49816"/>
    <n v="176"/>
    <s v="StyleRevolution"/>
    <n v="3804"/>
    <x v="4"/>
  </r>
  <r>
    <x v="45"/>
    <s v="Twitter"/>
    <d v="2025-05-02T00:00:00"/>
    <s v="Video"/>
    <s v="Explore the latest video on Myntra! Trendy styles await."/>
    <n v="1108"/>
    <n v="177"/>
    <n v="212"/>
    <n v="8864"/>
    <n v="8710"/>
    <n v="97"/>
    <s v="StyleRevolution"/>
    <n v="1497"/>
    <x v="1"/>
  </r>
  <r>
    <x v="46"/>
    <s v="Twitter"/>
    <d v="2025-02-24T00:00:00"/>
    <s v="Carousel"/>
    <s v="Explore the latest carousel on Myntra! Trendy styles await."/>
    <n v="2704"/>
    <n v="752"/>
    <n v="153"/>
    <n v="21632"/>
    <n v="20792"/>
    <n v="127"/>
    <s v="FashionUpgrade"/>
    <n v="3609"/>
    <x v="4"/>
  </r>
  <r>
    <x v="46"/>
    <s v="Twitter"/>
    <d v="2025-02-24T00:00:00"/>
    <s v="Carousel"/>
    <s v="Explore the latest carousel on Myntra! Trendy styles await."/>
    <n v="2704"/>
    <n v="752"/>
    <n v="153"/>
    <n v="21632"/>
    <n v="20792"/>
    <n v="127"/>
    <s v="FashionUpgrade"/>
    <n v="3609"/>
    <x v="1"/>
  </r>
  <r>
    <x v="47"/>
    <s v="Twitter"/>
    <d v="2025-03-11T00:00:00"/>
    <s v="Story"/>
    <s v="Explore the latest story on Myntra! Trendy styles await."/>
    <n v="1950"/>
    <n v="295"/>
    <n v="478"/>
    <n v="37050"/>
    <n v="36272"/>
    <n v="119"/>
    <s v="StyleRevolution"/>
    <n v="2723"/>
    <x v="1"/>
  </r>
  <r>
    <x v="47"/>
    <s v="Twitter"/>
    <d v="2025-03-11T00:00:00"/>
    <s v="Story"/>
    <s v="Explore the latest story on Myntra! Trendy styles await."/>
    <n v="1950"/>
    <n v="295"/>
    <n v="478"/>
    <n v="37050"/>
    <n v="36272"/>
    <n v="119"/>
    <s v="StyleRevolution"/>
    <n v="2723"/>
    <x v="2"/>
  </r>
  <r>
    <x v="48"/>
    <s v="Twitter"/>
    <d v="2024-06-10T00:00:00"/>
    <s v="Story"/>
    <s v="Explore the latest story on Myntra! Trendy styles await."/>
    <n v="2164"/>
    <n v="549"/>
    <n v="274"/>
    <n v="28132"/>
    <n v="27361"/>
    <n v="177"/>
    <s v="FashionUpgrade"/>
    <n v="2987"/>
    <x v="2"/>
  </r>
  <r>
    <x v="49"/>
    <s v="YouTube"/>
    <d v="2024-07-03T00:00:00"/>
    <s v="Story"/>
    <s v="Explore the latest story on Myntra! Trendy styles await."/>
    <n v="2754"/>
    <n v="130"/>
    <n v="90"/>
    <n v="22032"/>
    <n v="21288"/>
    <n v="112"/>
    <s v="FashionUpgrade"/>
    <n v="2974"/>
    <x v="1"/>
  </r>
  <r>
    <x v="50"/>
    <s v="Facebook"/>
    <d v="2024-06-13T00:00:00"/>
    <s v="Carousel"/>
    <s v="Explore the latest carousel on Myntra! Trendy styles await."/>
    <n v="2200"/>
    <n v="504"/>
    <n v="239"/>
    <n v="37400"/>
    <n v="36938"/>
    <n v="225"/>
    <s v="MyntraFestiveEdit"/>
    <n v="2943"/>
    <x v="0"/>
  </r>
  <r>
    <x v="51"/>
    <s v="Facebook"/>
    <d v="2025-01-03T00:00:00"/>
    <s v="Image"/>
    <s v="Explore the latest image on Myntra! Trendy styles await."/>
    <n v="947"/>
    <n v="338"/>
    <n v="350"/>
    <n v="10417"/>
    <n v="9730"/>
    <n v="34"/>
    <s v="MyntraFestiveEdit"/>
    <n v="1635"/>
    <x v="1"/>
  </r>
  <r>
    <x v="51"/>
    <s v="Facebook"/>
    <d v="2025-01-03T00:00:00"/>
    <s v="Image"/>
    <s v="Explore the latest image on Myntra! Trendy styles await."/>
    <n v="947"/>
    <n v="338"/>
    <n v="350"/>
    <n v="10417"/>
    <n v="9730"/>
    <n v="34"/>
    <s v="MyntraFestiveEdit"/>
    <n v="1635"/>
    <x v="0"/>
  </r>
  <r>
    <x v="52"/>
    <s v="YouTube"/>
    <d v="2025-02-24T00:00:00"/>
    <s v="Carousel"/>
    <s v="Explore the latest carousel on Myntra! Trendy styles await."/>
    <n v="804"/>
    <n v="639"/>
    <n v="43"/>
    <n v="4020"/>
    <n v="3144"/>
    <n v="11"/>
    <s v="StyleRevolution"/>
    <n v="1486"/>
    <x v="2"/>
  </r>
  <r>
    <x v="52"/>
    <s v="YouTube"/>
    <d v="2025-02-24T00:00:00"/>
    <s v="Carousel"/>
    <s v="Explore the latest carousel on Myntra! Trendy styles await."/>
    <n v="804"/>
    <n v="639"/>
    <n v="43"/>
    <n v="4020"/>
    <n v="3144"/>
    <n v="11"/>
    <s v="StyleRevolution"/>
    <n v="1486"/>
    <x v="3"/>
  </r>
  <r>
    <x v="53"/>
    <s v="YouTube"/>
    <d v="2025-03-13T00:00:00"/>
    <s v="Carousel"/>
    <s v="Explore the latest carousel on Myntra! Trendy styles await."/>
    <n v="1686"/>
    <n v="904"/>
    <n v="472"/>
    <n v="18546"/>
    <n v="18171"/>
    <n v="52"/>
    <s v="EndOfSeasonSale"/>
    <n v="3062"/>
    <x v="1"/>
  </r>
  <r>
    <x v="53"/>
    <s v="YouTube"/>
    <d v="2025-03-13T00:00:00"/>
    <s v="Carousel"/>
    <s v="Explore the latest carousel on Myntra! Trendy styles await."/>
    <n v="1686"/>
    <n v="904"/>
    <n v="472"/>
    <n v="18546"/>
    <n v="18171"/>
    <n v="52"/>
    <s v="EndOfSeasonSale"/>
    <n v="3062"/>
    <x v="4"/>
  </r>
  <r>
    <x v="54"/>
    <s v="Facebook"/>
    <d v="2024-06-17T00:00:00"/>
    <s v="Image"/>
    <s v="Explore the latest image on Myntra! Trendy styles await."/>
    <n v="1226"/>
    <n v="119"/>
    <n v="7"/>
    <n v="14712"/>
    <n v="14049"/>
    <n v="123"/>
    <s v="StyleRevolution"/>
    <n v="1352"/>
    <x v="0"/>
  </r>
  <r>
    <x v="54"/>
    <s v="Facebook"/>
    <d v="2024-06-17T00:00:00"/>
    <s v="Image"/>
    <s v="Explore the latest image on Myntra! Trendy styles await."/>
    <n v="1226"/>
    <n v="119"/>
    <n v="7"/>
    <n v="14712"/>
    <n v="14049"/>
    <n v="123"/>
    <s v="StyleRevolution"/>
    <n v="1352"/>
    <x v="3"/>
  </r>
  <r>
    <x v="55"/>
    <s v="Facebook"/>
    <d v="2024-12-18T00:00:00"/>
    <s v="Carousel"/>
    <s v="Explore the latest carousel on Myntra! Trendy styles await."/>
    <n v="2946"/>
    <n v="498"/>
    <n v="367"/>
    <n v="29460"/>
    <n v="28527"/>
    <n v="60"/>
    <s v="EndOfSeasonSale"/>
    <n v="3811"/>
    <x v="2"/>
  </r>
  <r>
    <x v="55"/>
    <s v="Facebook"/>
    <d v="2024-12-18T00:00:00"/>
    <s v="Carousel"/>
    <s v="Explore the latest carousel on Myntra! Trendy styles await."/>
    <n v="2946"/>
    <n v="498"/>
    <n v="367"/>
    <n v="29460"/>
    <n v="28527"/>
    <n v="60"/>
    <s v="EndOfSeasonSale"/>
    <n v="3811"/>
    <x v="4"/>
  </r>
  <r>
    <x v="56"/>
    <s v="Twitter"/>
    <d v="2024-10-21T00:00:00"/>
    <s v="Video"/>
    <s v="Explore the latest video on Myntra! Trendy styles await."/>
    <n v="2825"/>
    <n v="535"/>
    <n v="295"/>
    <n v="45200"/>
    <n v="44739"/>
    <n v="169"/>
    <s v="EndOfSeasonSale"/>
    <n v="3655"/>
    <x v="2"/>
  </r>
  <r>
    <x v="57"/>
    <s v="Instagram"/>
    <d v="2025-04-15T00:00:00"/>
    <s v="Reel"/>
    <s v="Explore the latest reel on Myntra! Trendy styles await."/>
    <n v="103"/>
    <n v="770"/>
    <n v="19"/>
    <n v="1030"/>
    <n v="410"/>
    <n v="262"/>
    <s v="MyntraFestiveEdit"/>
    <n v="892"/>
    <x v="0"/>
  </r>
  <r>
    <x v="58"/>
    <s v="Instagram"/>
    <d v="2024-06-22T00:00:00"/>
    <s v="Text"/>
    <s v="Explore the latest text on Myntra! Trendy styles await."/>
    <n v="2180"/>
    <n v="263"/>
    <n v="387"/>
    <n v="30520"/>
    <n v="30059"/>
    <n v="174"/>
    <s v="FashionUpgrade"/>
    <n v="2830"/>
    <x v="4"/>
  </r>
  <r>
    <x v="59"/>
    <s v="Instagram"/>
    <d v="2025-01-28T00:00:00"/>
    <s v="Video"/>
    <s v="Explore the latest video on Myntra! Trendy styles await."/>
    <n v="904"/>
    <n v="973"/>
    <n v="63"/>
    <n v="11752"/>
    <n v="11580"/>
    <n v="84"/>
    <s v="FashionUpgrade"/>
    <n v="1940"/>
    <x v="2"/>
  </r>
  <r>
    <x v="60"/>
    <s v="Twitter"/>
    <d v="2024-09-05T00:00:00"/>
    <s v="Video"/>
    <s v="Explore the latest video on Myntra! Trendy styles await."/>
    <n v="4886"/>
    <n v="983"/>
    <n v="409"/>
    <n v="43974"/>
    <n v="43239"/>
    <n v="65"/>
    <s v="FashionUpgrade"/>
    <n v="6278"/>
    <x v="1"/>
  </r>
  <r>
    <x v="61"/>
    <s v="Twitter"/>
    <d v="2024-11-22T00:00:00"/>
    <s v="Carousel"/>
    <s v="Explore the latest carousel on Myntra! Trendy styles await."/>
    <n v="53"/>
    <n v="81"/>
    <n v="379"/>
    <n v="954"/>
    <n v="7"/>
    <n v="148"/>
    <s v="MyntraFestiveEdit"/>
    <n v="513"/>
    <x v="4"/>
  </r>
  <r>
    <x v="62"/>
    <s v="Twitter"/>
    <d v="2024-07-31T00:00:00"/>
    <s v="Carousel"/>
    <s v="Explore the latest carousel on Myntra! Trendy styles await."/>
    <n v="4507"/>
    <n v="217"/>
    <n v="13"/>
    <n v="90140"/>
    <n v="89591"/>
    <n v="125"/>
    <s v="FashionUpgrade"/>
    <n v="4737"/>
    <x v="0"/>
  </r>
  <r>
    <x v="63"/>
    <s v="Facebook"/>
    <d v="2024-08-17T00:00:00"/>
    <s v="Image"/>
    <s v="Explore the latest image on Myntra! Trendy styles await."/>
    <n v="2878"/>
    <n v="248"/>
    <n v="416"/>
    <n v="43170"/>
    <n v="42667"/>
    <n v="75"/>
    <s v="EndOfSeasonSale"/>
    <n v="3542"/>
    <x v="4"/>
  </r>
  <r>
    <x v="63"/>
    <s v="Facebook"/>
    <d v="2024-08-17T00:00:00"/>
    <s v="Image"/>
    <s v="Explore the latest image on Myntra! Trendy styles await."/>
    <n v="2878"/>
    <n v="248"/>
    <n v="416"/>
    <n v="43170"/>
    <n v="42667"/>
    <n v="75"/>
    <s v="EndOfSeasonSale"/>
    <n v="3542"/>
    <x v="3"/>
  </r>
  <r>
    <x v="64"/>
    <s v="Instagram"/>
    <d v="2025-03-28T00:00:00"/>
    <s v="Story"/>
    <s v="Explore the latest story on Myntra! Trendy styles await."/>
    <n v="1881"/>
    <n v="501"/>
    <n v="99"/>
    <n v="20691"/>
    <n v="19987"/>
    <n v="289"/>
    <s v="EndOfSeasonSale"/>
    <n v="2481"/>
    <x v="4"/>
  </r>
  <r>
    <x v="65"/>
    <s v="Twitter"/>
    <d v="2024-07-26T00:00:00"/>
    <s v="Carousel"/>
    <s v="Explore the latest carousel on Myntra! Trendy styles await."/>
    <n v="432"/>
    <n v="171"/>
    <n v="280"/>
    <n v="3024"/>
    <n v="2285"/>
    <n v="184"/>
    <s v="MyntraFestiveEdit"/>
    <n v="883"/>
    <x v="1"/>
  </r>
  <r>
    <x v="66"/>
    <s v="Facebook"/>
    <d v="2025-03-29T00:00:00"/>
    <s v="Carousel"/>
    <s v="Explore the latest carousel on Myntra! Trendy styles await."/>
    <n v="4712"/>
    <n v="568"/>
    <n v="127"/>
    <n v="84816"/>
    <n v="84691"/>
    <n v="100"/>
    <s v="FashionUpgrade"/>
    <n v="5407"/>
    <x v="4"/>
  </r>
  <r>
    <x v="67"/>
    <s v="Instagram"/>
    <d v="2024-12-08T00:00:00"/>
    <s v="Story"/>
    <s v="Explore the latest story on Myntra! Trendy styles await."/>
    <n v="2610"/>
    <n v="126"/>
    <n v="288"/>
    <n v="15660"/>
    <n v="15145"/>
    <n v="73"/>
    <s v="FashionUpgrade"/>
    <n v="3024"/>
    <x v="1"/>
  </r>
  <r>
    <x v="68"/>
    <s v="Twitter"/>
    <d v="2025-03-08T00:00:00"/>
    <s v="Text"/>
    <s v="Explore the latest text on Myntra! Trendy styles await."/>
    <n v="1292"/>
    <n v="626"/>
    <n v="496"/>
    <n v="25840"/>
    <n v="24916"/>
    <n v="149"/>
    <s v="StyleRevolution"/>
    <n v="2414"/>
    <x v="2"/>
  </r>
  <r>
    <x v="68"/>
    <s v="Twitter"/>
    <d v="2025-03-08T00:00:00"/>
    <s v="Text"/>
    <s v="Explore the latest text on Myntra! Trendy styles await."/>
    <n v="1292"/>
    <n v="626"/>
    <n v="496"/>
    <n v="25840"/>
    <n v="24916"/>
    <n v="149"/>
    <s v="StyleRevolution"/>
    <n v="2414"/>
    <x v="3"/>
  </r>
  <r>
    <x v="69"/>
    <s v="Facebook"/>
    <d v="2025-04-02T00:00:00"/>
    <s v="Video"/>
    <s v="Explore the latest video on Myntra! Trendy styles await."/>
    <n v="199"/>
    <n v="772"/>
    <n v="400"/>
    <n v="3582"/>
    <n v="2988"/>
    <n v="43"/>
    <s v="FashionUpgrade"/>
    <n v="1371"/>
    <x v="3"/>
  </r>
  <r>
    <x v="70"/>
    <s v="YouTube"/>
    <d v="2024-09-02T00:00:00"/>
    <s v="Carousel"/>
    <s v="Explore the latest carousel on Myntra! Trendy styles await."/>
    <n v="2551"/>
    <n v="915"/>
    <n v="205"/>
    <n v="30612"/>
    <n v="30360"/>
    <n v="227"/>
    <s v="EndOfSeasonSale"/>
    <n v="3671"/>
    <x v="0"/>
  </r>
  <r>
    <x v="70"/>
    <s v="YouTube"/>
    <d v="2024-09-02T00:00:00"/>
    <s v="Carousel"/>
    <s v="Explore the latest carousel on Myntra! Trendy styles await."/>
    <n v="2551"/>
    <n v="915"/>
    <n v="205"/>
    <n v="30612"/>
    <n v="30360"/>
    <n v="227"/>
    <s v="EndOfSeasonSale"/>
    <n v="3671"/>
    <x v="4"/>
  </r>
  <r>
    <x v="71"/>
    <s v="YouTube"/>
    <d v="2025-03-03T00:00:00"/>
    <s v="Reel"/>
    <s v="Explore the latest reel on Myntra! Trendy styles await."/>
    <n v="296"/>
    <n v="60"/>
    <n v="141"/>
    <n v="5624"/>
    <n v="5239"/>
    <n v="88"/>
    <s v="StyleRevolution"/>
    <n v="497"/>
    <x v="3"/>
  </r>
  <r>
    <x v="72"/>
    <s v="Facebook"/>
    <d v="2024-10-18T00:00:00"/>
    <s v="Story"/>
    <s v="Explore the latest story on Myntra! Trendy styles await."/>
    <n v="4126"/>
    <n v="426"/>
    <n v="486"/>
    <n v="78394"/>
    <n v="77798"/>
    <n v="88"/>
    <s v="FashionUpgrade"/>
    <n v="5038"/>
    <x v="1"/>
  </r>
  <r>
    <x v="73"/>
    <s v="YouTube"/>
    <d v="2024-10-28T00:00:00"/>
    <s v="Reel"/>
    <s v="Explore the latest reel on Myntra! Trendy styles await."/>
    <n v="1855"/>
    <n v="200"/>
    <n v="174"/>
    <n v="16695"/>
    <n v="16330"/>
    <n v="123"/>
    <s v="MyntraFestiveEdit"/>
    <n v="2229"/>
    <x v="1"/>
  </r>
  <r>
    <x v="74"/>
    <s v="Instagram"/>
    <d v="2024-08-01T00:00:00"/>
    <s v="Reel"/>
    <s v="Explore the latest reel on Myntra! Trendy styles await."/>
    <n v="1674"/>
    <n v="929"/>
    <n v="37"/>
    <n v="21762"/>
    <n v="20998"/>
    <n v="255"/>
    <s v="MyntraFestiveEdit"/>
    <n v="2640"/>
    <x v="2"/>
  </r>
  <r>
    <x v="74"/>
    <s v="Instagram"/>
    <d v="2024-08-01T00:00:00"/>
    <s v="Reel"/>
    <s v="Explore the latest reel on Myntra! Trendy styles await."/>
    <n v="1674"/>
    <n v="929"/>
    <n v="37"/>
    <n v="21762"/>
    <n v="20998"/>
    <n v="255"/>
    <s v="MyntraFestiveEdit"/>
    <n v="2640"/>
    <x v="4"/>
  </r>
  <r>
    <x v="75"/>
    <s v="Twitter"/>
    <d v="2024-11-07T00:00:00"/>
    <s v="Story"/>
    <s v="Explore the latest story on Myntra! Trendy styles await."/>
    <n v="1121"/>
    <n v="135"/>
    <n v="18"/>
    <n v="15694"/>
    <n v="14957"/>
    <n v="99"/>
    <s v="StyleRevolution"/>
    <n v="1274"/>
    <x v="0"/>
  </r>
  <r>
    <x v="75"/>
    <s v="Twitter"/>
    <d v="2024-11-07T00:00:00"/>
    <s v="Story"/>
    <s v="Explore the latest story on Myntra! Trendy styles await."/>
    <n v="1121"/>
    <n v="135"/>
    <n v="18"/>
    <n v="15694"/>
    <n v="14957"/>
    <n v="99"/>
    <s v="StyleRevolution"/>
    <n v="1274"/>
    <x v="1"/>
  </r>
  <r>
    <x v="76"/>
    <s v="Facebook"/>
    <d v="2025-03-04T00:00:00"/>
    <s v="Story"/>
    <s v="Explore the latest story on Myntra! Trendy styles await."/>
    <n v="1249"/>
    <n v="116"/>
    <n v="420"/>
    <n v="8743"/>
    <n v="8538"/>
    <n v="63"/>
    <s v="MyntraFestiveEdit"/>
    <n v="1785"/>
    <x v="1"/>
  </r>
  <r>
    <x v="76"/>
    <s v="Facebook"/>
    <d v="2025-03-04T00:00:00"/>
    <s v="Story"/>
    <s v="Explore the latest story on Myntra! Trendy styles await."/>
    <n v="1249"/>
    <n v="116"/>
    <n v="420"/>
    <n v="8743"/>
    <n v="8538"/>
    <n v="63"/>
    <s v="MyntraFestiveEdit"/>
    <n v="1785"/>
    <x v="4"/>
  </r>
  <r>
    <x v="77"/>
    <s v="Twitter"/>
    <d v="2024-06-17T00:00:00"/>
    <s v="Image"/>
    <s v="Explore the latest image on Myntra! Trendy styles await."/>
    <n v="954"/>
    <n v="324"/>
    <n v="288"/>
    <n v="19080"/>
    <n v="18859"/>
    <n v="21"/>
    <s v="MyntraFestiveEdit"/>
    <n v="1566"/>
    <x v="3"/>
  </r>
  <r>
    <x v="78"/>
    <s v="Instagram"/>
    <d v="2024-10-09T00:00:00"/>
    <s v="Carousel"/>
    <s v="Explore the latest carousel on Myntra! Trendy styles await."/>
    <n v="3068"/>
    <n v="137"/>
    <n v="329"/>
    <n v="39884"/>
    <n v="39404"/>
    <n v="266"/>
    <s v="MyntraFestiveEdit"/>
    <n v="3534"/>
    <x v="0"/>
  </r>
  <r>
    <x v="78"/>
    <s v="Instagram"/>
    <d v="2024-10-09T00:00:00"/>
    <s v="Carousel"/>
    <s v="Explore the latest carousel on Myntra! Trendy styles await."/>
    <n v="3068"/>
    <n v="137"/>
    <n v="329"/>
    <n v="39884"/>
    <n v="39404"/>
    <n v="266"/>
    <s v="MyntraFestiveEdit"/>
    <n v="3534"/>
    <x v="3"/>
  </r>
  <r>
    <x v="79"/>
    <s v="Instagram"/>
    <d v="2024-06-13T00:00:00"/>
    <s v="Story"/>
    <s v="Explore the latest story on Myntra! Trendy styles await."/>
    <n v="2103"/>
    <n v="892"/>
    <n v="103"/>
    <n v="39957"/>
    <n v="39466"/>
    <n v="28"/>
    <s v="EndOfSeasonSale"/>
    <n v="3098"/>
    <x v="4"/>
  </r>
  <r>
    <x v="79"/>
    <s v="Instagram"/>
    <d v="2024-06-13T00:00:00"/>
    <s v="Story"/>
    <s v="Explore the latest story on Myntra! Trendy styles await."/>
    <n v="2103"/>
    <n v="892"/>
    <n v="103"/>
    <n v="39957"/>
    <n v="39466"/>
    <n v="28"/>
    <s v="EndOfSeasonSale"/>
    <n v="3098"/>
    <x v="1"/>
  </r>
  <r>
    <x v="80"/>
    <s v="Instagram"/>
    <d v="2024-10-19T00:00:00"/>
    <s v="Story"/>
    <s v="Explore the latest story on Myntra! Trendy styles await."/>
    <n v="1816"/>
    <n v="29"/>
    <n v="41"/>
    <n v="19976"/>
    <n v="19262"/>
    <n v="283"/>
    <s v="MyntraFestiveEdit"/>
    <n v="1886"/>
    <x v="3"/>
  </r>
  <r>
    <x v="80"/>
    <s v="Instagram"/>
    <d v="2024-10-19T00:00:00"/>
    <s v="Story"/>
    <s v="Explore the latest story on Myntra! Trendy styles await."/>
    <n v="1816"/>
    <n v="29"/>
    <n v="41"/>
    <n v="19976"/>
    <n v="19262"/>
    <n v="283"/>
    <s v="MyntraFestiveEdit"/>
    <n v="1886"/>
    <x v="0"/>
  </r>
  <r>
    <x v="81"/>
    <s v="Instagram"/>
    <d v="2024-07-24T00:00:00"/>
    <s v="Image"/>
    <s v="Explore the latest image on Myntra! Trendy styles await."/>
    <n v="725"/>
    <n v="88"/>
    <n v="428"/>
    <n v="14500"/>
    <n v="13637"/>
    <n v="200"/>
    <s v="MyntraFestiveEdit"/>
    <n v="1241"/>
    <x v="3"/>
  </r>
  <r>
    <x v="82"/>
    <s v="YouTube"/>
    <d v="2024-10-15T00:00:00"/>
    <s v="Video"/>
    <s v="Explore the latest video on Myntra! Trendy styles await."/>
    <n v="1094"/>
    <n v="472"/>
    <n v="21"/>
    <n v="9846"/>
    <n v="9609"/>
    <n v="112"/>
    <s v="MyntraFestiveEdit"/>
    <n v="1587"/>
    <x v="3"/>
  </r>
  <r>
    <x v="82"/>
    <s v="YouTube"/>
    <d v="2024-10-15T00:00:00"/>
    <s v="Video"/>
    <s v="Explore the latest video on Myntra! Trendy styles await."/>
    <n v="1094"/>
    <n v="472"/>
    <n v="21"/>
    <n v="9846"/>
    <n v="9609"/>
    <n v="112"/>
    <s v="MyntraFestiveEdit"/>
    <n v="1587"/>
    <x v="2"/>
  </r>
  <r>
    <x v="83"/>
    <s v="Facebook"/>
    <d v="2024-12-09T00:00:00"/>
    <s v="Image"/>
    <s v="Explore the latest image on Myntra! Trendy styles await."/>
    <n v="1841"/>
    <n v="851"/>
    <n v="342"/>
    <n v="34979"/>
    <n v="34154"/>
    <n v="255"/>
    <s v="FashionUpgrade"/>
    <n v="3034"/>
    <x v="1"/>
  </r>
  <r>
    <x v="83"/>
    <s v="Facebook"/>
    <d v="2024-12-09T00:00:00"/>
    <s v="Image"/>
    <s v="Explore the latest image on Myntra! Trendy styles await."/>
    <n v="1841"/>
    <n v="851"/>
    <n v="342"/>
    <n v="34979"/>
    <n v="34154"/>
    <n v="255"/>
    <s v="FashionUpgrade"/>
    <n v="3034"/>
    <x v="4"/>
  </r>
  <r>
    <x v="84"/>
    <s v="Instagram"/>
    <d v="2025-04-19T00:00:00"/>
    <s v="Image"/>
    <s v="Explore the latest image on Myntra! Trendy styles await."/>
    <n v="4177"/>
    <n v="569"/>
    <n v="55"/>
    <n v="25062"/>
    <n v="24847"/>
    <n v="230"/>
    <s v="FashionUpgrade"/>
    <n v="4801"/>
    <x v="1"/>
  </r>
  <r>
    <x v="85"/>
    <s v="YouTube"/>
    <d v="2025-01-27T00:00:00"/>
    <s v="Text"/>
    <s v="Explore the latest text on Myntra! Trendy styles await."/>
    <n v="3428"/>
    <n v="305"/>
    <n v="85"/>
    <n v="58276"/>
    <n v="58052"/>
    <n v="242"/>
    <s v="MyntraFestiveEdit"/>
    <n v="3818"/>
    <x v="3"/>
  </r>
  <r>
    <x v="85"/>
    <s v="YouTube"/>
    <d v="2025-01-27T00:00:00"/>
    <s v="Text"/>
    <s v="Explore the latest text on Myntra! Trendy styles await."/>
    <n v="3428"/>
    <n v="305"/>
    <n v="85"/>
    <n v="58276"/>
    <n v="58052"/>
    <n v="242"/>
    <s v="MyntraFestiveEdit"/>
    <n v="3818"/>
    <x v="2"/>
  </r>
  <r>
    <x v="86"/>
    <s v="Twitter"/>
    <d v="2024-06-06T00:00:00"/>
    <s v="Video"/>
    <s v="Explore the latest video on Myntra! Trendy styles await."/>
    <n v="1436"/>
    <n v="765"/>
    <n v="496"/>
    <n v="12924"/>
    <n v="12701"/>
    <n v="197"/>
    <s v="EndOfSeasonSale"/>
    <n v="2697"/>
    <x v="3"/>
  </r>
  <r>
    <x v="86"/>
    <s v="Twitter"/>
    <d v="2024-06-06T00:00:00"/>
    <s v="Video"/>
    <s v="Explore the latest video on Myntra! Trendy styles await."/>
    <n v="1436"/>
    <n v="765"/>
    <n v="496"/>
    <n v="12924"/>
    <n v="12701"/>
    <n v="197"/>
    <s v="EndOfSeasonSale"/>
    <n v="2697"/>
    <x v="0"/>
  </r>
  <r>
    <x v="87"/>
    <s v="Facebook"/>
    <d v="2024-07-07T00:00:00"/>
    <s v="Story"/>
    <s v="Explore the latest story on Myntra! Trendy styles await."/>
    <n v="302"/>
    <n v="47"/>
    <n v="430"/>
    <n v="5738"/>
    <n v="4890"/>
    <n v="25"/>
    <s v="EndOfSeasonSale"/>
    <n v="779"/>
    <x v="1"/>
  </r>
  <r>
    <x v="87"/>
    <s v="Facebook"/>
    <d v="2024-07-07T00:00:00"/>
    <s v="Story"/>
    <s v="Explore the latest story on Myntra! Trendy styles await."/>
    <n v="302"/>
    <n v="47"/>
    <n v="430"/>
    <n v="5738"/>
    <n v="4890"/>
    <n v="25"/>
    <s v="EndOfSeasonSale"/>
    <n v="779"/>
    <x v="0"/>
  </r>
  <r>
    <x v="88"/>
    <s v="Twitter"/>
    <d v="2025-01-10T00:00:00"/>
    <s v="Image"/>
    <s v="Explore the latest image on Myntra! Trendy styles await."/>
    <n v="2214"/>
    <n v="249"/>
    <n v="152"/>
    <n v="15498"/>
    <n v="14800"/>
    <n v="180"/>
    <s v="EndOfSeasonSale"/>
    <n v="2615"/>
    <x v="0"/>
  </r>
  <r>
    <x v="89"/>
    <s v="Instagram"/>
    <d v="2024-06-03T00:00:00"/>
    <s v="Image"/>
    <s v="Explore the latest image on Myntra! Trendy styles await."/>
    <n v="3861"/>
    <n v="960"/>
    <n v="101"/>
    <n v="69498"/>
    <n v="68817"/>
    <n v="297"/>
    <s v="EndOfSeasonSale"/>
    <n v="4922"/>
    <x v="1"/>
  </r>
  <r>
    <x v="90"/>
    <s v="Facebook"/>
    <d v="2025-03-24T00:00:00"/>
    <s v="Image"/>
    <s v="Explore the latest image on Myntra! Trendy styles await."/>
    <n v="1263"/>
    <n v="397"/>
    <n v="357"/>
    <n v="25260"/>
    <n v="24615"/>
    <n v="137"/>
    <s v="EndOfSeasonSale"/>
    <n v="2017"/>
    <x v="0"/>
  </r>
  <r>
    <x v="91"/>
    <s v="Twitter"/>
    <d v="2024-10-21T00:00:00"/>
    <s v="Story"/>
    <s v="Explore the latest story on Myntra! Trendy styles await."/>
    <n v="3801"/>
    <n v="967"/>
    <n v="401"/>
    <n v="38010"/>
    <n v="37625"/>
    <n v="236"/>
    <s v="StyleRevolution"/>
    <n v="5169"/>
    <x v="2"/>
  </r>
  <r>
    <x v="92"/>
    <s v="Instagram"/>
    <d v="2024-12-11T00:00:00"/>
    <s v="Video"/>
    <s v="Explore the latest video on Myntra! Trendy styles await."/>
    <n v="1431"/>
    <n v="951"/>
    <n v="26"/>
    <n v="8586"/>
    <n v="8396"/>
    <n v="150"/>
    <s v="FashionUpgrade"/>
    <n v="2408"/>
    <x v="3"/>
  </r>
  <r>
    <x v="92"/>
    <s v="Instagram"/>
    <d v="2024-12-11T00:00:00"/>
    <s v="Video"/>
    <s v="Explore the latest video on Myntra! Trendy styles await."/>
    <n v="1431"/>
    <n v="951"/>
    <n v="26"/>
    <n v="8586"/>
    <n v="8396"/>
    <n v="150"/>
    <s v="FashionUpgrade"/>
    <n v="2408"/>
    <x v="4"/>
  </r>
  <r>
    <x v="93"/>
    <s v="Instagram"/>
    <d v="2024-11-07T00:00:00"/>
    <s v="Image"/>
    <s v="Explore the latest image on Myntra! Trendy styles await."/>
    <n v="2647"/>
    <n v="304"/>
    <n v="170"/>
    <n v="18529"/>
    <n v="17841"/>
    <n v="46"/>
    <s v="EndOfSeasonSale"/>
    <n v="3121"/>
    <x v="2"/>
  </r>
  <r>
    <x v="94"/>
    <s v="Instagram"/>
    <d v="2024-11-08T00:00:00"/>
    <s v="Text"/>
    <s v="Explore the latest text on Myntra! Trendy styles await."/>
    <n v="3182"/>
    <n v="559"/>
    <n v="160"/>
    <n v="57276"/>
    <n v="56890"/>
    <n v="163"/>
    <s v="EndOfSeasonSale"/>
    <n v="3901"/>
    <x v="2"/>
  </r>
  <r>
    <x v="94"/>
    <s v="Instagram"/>
    <d v="2024-11-08T00:00:00"/>
    <s v="Text"/>
    <s v="Explore the latest text on Myntra! Trendy styles await."/>
    <n v="3182"/>
    <n v="559"/>
    <n v="160"/>
    <n v="57276"/>
    <n v="56890"/>
    <n v="163"/>
    <s v="EndOfSeasonSale"/>
    <n v="3901"/>
    <x v="3"/>
  </r>
  <r>
    <x v="95"/>
    <s v="Twitter"/>
    <d v="2024-09-10T00:00:00"/>
    <s v="Image"/>
    <s v="Explore the latest image on Myntra! Trendy styles await."/>
    <n v="1238"/>
    <n v="366"/>
    <n v="444"/>
    <n v="19808"/>
    <n v="19334"/>
    <n v="123"/>
    <s v="MyntraFestiveEdit"/>
    <n v="2048"/>
    <x v="4"/>
  </r>
  <r>
    <x v="96"/>
    <s v="Instagram"/>
    <d v="2024-08-13T00:00:00"/>
    <s v="Image"/>
    <s v="Explore the latest image on Myntra! Trendy styles await."/>
    <n v="4739"/>
    <n v="527"/>
    <n v="135"/>
    <n v="61607"/>
    <n v="61333"/>
    <n v="36"/>
    <s v="EndOfSeasonSale"/>
    <n v="5401"/>
    <x v="2"/>
  </r>
  <r>
    <x v="96"/>
    <s v="Instagram"/>
    <d v="2024-08-13T00:00:00"/>
    <s v="Image"/>
    <s v="Explore the latest image on Myntra! Trendy styles await."/>
    <n v="4739"/>
    <n v="527"/>
    <n v="135"/>
    <n v="61607"/>
    <n v="61333"/>
    <n v="36"/>
    <s v="EndOfSeasonSale"/>
    <n v="5401"/>
    <x v="0"/>
  </r>
  <r>
    <x v="97"/>
    <s v="Twitter"/>
    <d v="2024-06-10T00:00:00"/>
    <s v="Story"/>
    <s v="Explore the latest story on Myntra! Trendy styles await."/>
    <n v="1575"/>
    <n v="771"/>
    <n v="486"/>
    <n v="25200"/>
    <n v="24826"/>
    <n v="17"/>
    <s v="MyntraFestiveEdit"/>
    <n v="2832"/>
    <x v="2"/>
  </r>
  <r>
    <x v="98"/>
    <s v="YouTube"/>
    <d v="2024-07-02T00:00:00"/>
    <s v="Carousel"/>
    <s v="Explore the latest carousel on Myntra! Trendy styles await."/>
    <n v="4171"/>
    <n v="548"/>
    <n v="86"/>
    <n v="66736"/>
    <n v="66634"/>
    <n v="173"/>
    <s v="MyntraFestiveEdit"/>
    <n v="4805"/>
    <x v="2"/>
  </r>
  <r>
    <x v="99"/>
    <s v="YouTube"/>
    <d v="2025-02-10T00:00:00"/>
    <s v="Video"/>
    <s v="Explore the latest video on Myntra! Trendy styles await."/>
    <n v="1766"/>
    <n v="92"/>
    <n v="424"/>
    <n v="24724"/>
    <n v="24333"/>
    <n v="52"/>
    <s v="FashionUpgrade"/>
    <n v="2282"/>
    <x v="2"/>
  </r>
  <r>
    <x v="100"/>
    <s v="YouTube"/>
    <d v="2024-10-18T00:00:00"/>
    <s v="Video"/>
    <s v="Explore the latest video on Myntra! Trendy styles await."/>
    <n v="4450"/>
    <n v="983"/>
    <n v="143"/>
    <n v="75650"/>
    <n v="75008"/>
    <n v="12"/>
    <s v="EndOfSeasonSale"/>
    <n v="5576"/>
    <x v="0"/>
  </r>
  <r>
    <x v="100"/>
    <s v="YouTube"/>
    <d v="2024-10-18T00:00:00"/>
    <s v="Video"/>
    <s v="Explore the latest video on Myntra! Trendy styles await."/>
    <n v="4450"/>
    <n v="983"/>
    <n v="143"/>
    <n v="75650"/>
    <n v="75008"/>
    <n v="12"/>
    <s v="EndOfSeasonSale"/>
    <n v="5576"/>
    <x v="2"/>
  </r>
  <r>
    <x v="101"/>
    <s v="Twitter"/>
    <d v="2024-09-18T00:00:00"/>
    <s v="Reel"/>
    <s v="Explore the latest reel on Myntra! Trendy styles await."/>
    <n v="1000"/>
    <n v="978"/>
    <n v="162"/>
    <n v="6000"/>
    <n v="5221"/>
    <n v="223"/>
    <s v="MyntraFestiveEdit"/>
    <n v="2140"/>
    <x v="3"/>
  </r>
  <r>
    <x v="101"/>
    <s v="Twitter"/>
    <d v="2024-09-18T00:00:00"/>
    <s v="Reel"/>
    <s v="Explore the latest reel on Myntra! Trendy styles await."/>
    <n v="1000"/>
    <n v="978"/>
    <n v="162"/>
    <n v="6000"/>
    <n v="5221"/>
    <n v="223"/>
    <s v="MyntraFestiveEdit"/>
    <n v="2140"/>
    <x v="1"/>
  </r>
  <r>
    <x v="102"/>
    <s v="Facebook"/>
    <d v="2024-06-11T00:00:00"/>
    <s v="Image"/>
    <s v="Explore the latest image on Myntra! Trendy styles await."/>
    <n v="3689"/>
    <n v="48"/>
    <n v="306"/>
    <n v="40579"/>
    <n v="39588"/>
    <n v="212"/>
    <s v="FashionUpgrade"/>
    <n v="4043"/>
    <x v="3"/>
  </r>
  <r>
    <x v="103"/>
    <s v="YouTube"/>
    <d v="2025-03-23T00:00:00"/>
    <s v="Story"/>
    <s v="Explore the latest story on Myntra! Trendy styles await."/>
    <n v="3655"/>
    <n v="568"/>
    <n v="286"/>
    <n v="32895"/>
    <n v="32015"/>
    <n v="199"/>
    <s v="StyleRevolution"/>
    <n v="4509"/>
    <x v="3"/>
  </r>
  <r>
    <x v="104"/>
    <s v="Instagram"/>
    <d v="2024-06-14T00:00:00"/>
    <s v="Carousel"/>
    <s v="Explore the latest carousel on Myntra! Trendy styles await."/>
    <n v="498"/>
    <n v="38"/>
    <n v="42"/>
    <n v="4482"/>
    <n v="3647"/>
    <n v="32"/>
    <s v="StyleRevolution"/>
    <n v="578"/>
    <x v="2"/>
  </r>
  <r>
    <x v="104"/>
    <s v="Instagram"/>
    <d v="2024-06-14T00:00:00"/>
    <s v="Carousel"/>
    <s v="Explore the latest carousel on Myntra! Trendy styles await."/>
    <n v="498"/>
    <n v="38"/>
    <n v="42"/>
    <n v="4482"/>
    <n v="3647"/>
    <n v="32"/>
    <s v="StyleRevolution"/>
    <n v="578"/>
    <x v="4"/>
  </r>
  <r>
    <x v="105"/>
    <s v="Instagram"/>
    <d v="2025-02-04T00:00:00"/>
    <s v="Image"/>
    <s v="Explore the latest image on Myntra! Trendy styles await."/>
    <n v="4619"/>
    <n v="821"/>
    <n v="499"/>
    <n v="69285"/>
    <n v="69141"/>
    <n v="298"/>
    <s v="FashionUpgrade"/>
    <n v="5939"/>
    <x v="1"/>
  </r>
  <r>
    <x v="106"/>
    <s v="YouTube"/>
    <d v="2024-06-21T00:00:00"/>
    <s v="Image"/>
    <s v="Explore the latest image on Myntra! Trendy styles await."/>
    <n v="4832"/>
    <n v="893"/>
    <n v="10"/>
    <n v="91808"/>
    <n v="91296"/>
    <n v="182"/>
    <s v="MyntraFestiveEdit"/>
    <n v="5735"/>
    <x v="0"/>
  </r>
  <r>
    <x v="106"/>
    <s v="YouTube"/>
    <d v="2024-06-21T00:00:00"/>
    <s v="Image"/>
    <s v="Explore the latest image on Myntra! Trendy styles await."/>
    <n v="4832"/>
    <n v="893"/>
    <n v="10"/>
    <n v="91808"/>
    <n v="91296"/>
    <n v="182"/>
    <s v="MyntraFestiveEdit"/>
    <n v="5735"/>
    <x v="2"/>
  </r>
  <r>
    <x v="107"/>
    <s v="Twitter"/>
    <d v="2025-03-25T00:00:00"/>
    <s v="Video"/>
    <s v="Explore the latest video on Myntra! Trendy styles await."/>
    <n v="4050"/>
    <n v="871"/>
    <n v="347"/>
    <n v="52650"/>
    <n v="51755"/>
    <n v="209"/>
    <s v="FashionUpgrade"/>
    <n v="5268"/>
    <x v="2"/>
  </r>
  <r>
    <x v="107"/>
    <s v="Twitter"/>
    <d v="2025-03-25T00:00:00"/>
    <s v="Video"/>
    <s v="Explore the latest video on Myntra! Trendy styles await."/>
    <n v="4050"/>
    <n v="871"/>
    <n v="347"/>
    <n v="52650"/>
    <n v="51755"/>
    <n v="209"/>
    <s v="FashionUpgrade"/>
    <n v="5268"/>
    <x v="4"/>
  </r>
  <r>
    <x v="108"/>
    <s v="Twitter"/>
    <d v="2024-08-08T00:00:00"/>
    <s v="Story"/>
    <s v="Explore the latest story on Myntra! Trendy styles await."/>
    <n v="3649"/>
    <n v="215"/>
    <n v="413"/>
    <n v="25543"/>
    <n v="24963"/>
    <n v="167"/>
    <s v="FashionUpgrade"/>
    <n v="4277"/>
    <x v="1"/>
  </r>
  <r>
    <x v="108"/>
    <s v="Twitter"/>
    <d v="2024-08-08T00:00:00"/>
    <s v="Story"/>
    <s v="Explore the latest story on Myntra! Trendy styles await."/>
    <n v="3649"/>
    <n v="215"/>
    <n v="413"/>
    <n v="25543"/>
    <n v="24963"/>
    <n v="167"/>
    <s v="FashionUpgrade"/>
    <n v="4277"/>
    <x v="2"/>
  </r>
  <r>
    <x v="109"/>
    <s v="Instagram"/>
    <d v="2024-07-29T00:00:00"/>
    <s v="Reel"/>
    <s v="Explore the latest reel on Myntra! Trendy styles await."/>
    <n v="3523"/>
    <n v="753"/>
    <n v="482"/>
    <n v="38753"/>
    <n v="38579"/>
    <n v="270"/>
    <s v="EndOfSeasonSale"/>
    <n v="4758"/>
    <x v="4"/>
  </r>
  <r>
    <x v="109"/>
    <s v="Instagram"/>
    <d v="2024-07-29T00:00:00"/>
    <s v="Reel"/>
    <s v="Explore the latest reel on Myntra! Trendy styles await."/>
    <n v="3523"/>
    <n v="753"/>
    <n v="482"/>
    <n v="38753"/>
    <n v="38579"/>
    <n v="270"/>
    <s v="EndOfSeasonSale"/>
    <n v="4758"/>
    <x v="2"/>
  </r>
  <r>
    <x v="110"/>
    <s v="YouTube"/>
    <d v="2024-11-23T00:00:00"/>
    <s v="Image"/>
    <s v="Explore the latest image on Myntra! Trendy styles await."/>
    <n v="2719"/>
    <n v="17"/>
    <n v="285"/>
    <n v="40785"/>
    <n v="40281"/>
    <n v="40"/>
    <s v="MyntraFestiveEdit"/>
    <n v="3021"/>
    <x v="1"/>
  </r>
  <r>
    <x v="110"/>
    <s v="YouTube"/>
    <d v="2024-11-23T00:00:00"/>
    <s v="Image"/>
    <s v="Explore the latest image on Myntra! Trendy styles await."/>
    <n v="2719"/>
    <n v="17"/>
    <n v="285"/>
    <n v="40785"/>
    <n v="40281"/>
    <n v="40"/>
    <s v="MyntraFestiveEdit"/>
    <n v="3021"/>
    <x v="2"/>
  </r>
  <r>
    <x v="111"/>
    <s v="Twitter"/>
    <d v="2024-10-05T00:00:00"/>
    <s v="Story"/>
    <s v="Explore the latest story on Myntra! Trendy styles await."/>
    <n v="1957"/>
    <n v="877"/>
    <n v="238"/>
    <n v="17613"/>
    <n v="16865"/>
    <n v="297"/>
    <s v="MyntraFestiveEdit"/>
    <n v="3072"/>
    <x v="1"/>
  </r>
  <r>
    <x v="111"/>
    <s v="Twitter"/>
    <d v="2024-10-05T00:00:00"/>
    <s v="Story"/>
    <s v="Explore the latest story on Myntra! Trendy styles await."/>
    <n v="1957"/>
    <n v="877"/>
    <n v="238"/>
    <n v="17613"/>
    <n v="16865"/>
    <n v="297"/>
    <s v="MyntraFestiveEdit"/>
    <n v="3072"/>
    <x v="0"/>
  </r>
  <r>
    <x v="112"/>
    <s v="Twitter"/>
    <d v="2024-10-02T00:00:00"/>
    <s v="Carousel"/>
    <s v="Explore the latest carousel on Myntra! Trendy styles await."/>
    <n v="4419"/>
    <n v="236"/>
    <n v="369"/>
    <n v="44190"/>
    <n v="43582"/>
    <n v="10"/>
    <s v="StyleRevolution"/>
    <n v="5024"/>
    <x v="3"/>
  </r>
  <r>
    <x v="113"/>
    <s v="Twitter"/>
    <d v="2024-11-14T00:00:00"/>
    <s v="Story"/>
    <s v="Explore the latest story on Myntra! Trendy styles await."/>
    <n v="4000"/>
    <n v="689"/>
    <n v="488"/>
    <n v="40000"/>
    <n v="39569"/>
    <n v="44"/>
    <s v="MyntraFestiveEdit"/>
    <n v="5177"/>
    <x v="4"/>
  </r>
  <r>
    <x v="113"/>
    <s v="Twitter"/>
    <d v="2024-11-14T00:00:00"/>
    <s v="Story"/>
    <s v="Explore the latest story on Myntra! Trendy styles await."/>
    <n v="4000"/>
    <n v="689"/>
    <n v="488"/>
    <n v="40000"/>
    <n v="39569"/>
    <n v="44"/>
    <s v="MyntraFestiveEdit"/>
    <n v="5177"/>
    <x v="1"/>
  </r>
  <r>
    <x v="114"/>
    <s v="Twitter"/>
    <d v="2025-05-11T00:00:00"/>
    <s v="Image"/>
    <s v="Explore the latest image on Myntra! Trendy styles await."/>
    <n v="2493"/>
    <n v="97"/>
    <n v="44"/>
    <n v="42381"/>
    <n v="41991"/>
    <n v="242"/>
    <s v="FashionUpgrade"/>
    <n v="2634"/>
    <x v="0"/>
  </r>
  <r>
    <x v="114"/>
    <s v="Twitter"/>
    <d v="2025-05-11T00:00:00"/>
    <s v="Image"/>
    <s v="Explore the latest image on Myntra! Trendy styles await."/>
    <n v="2493"/>
    <n v="97"/>
    <n v="44"/>
    <n v="42381"/>
    <n v="41991"/>
    <n v="242"/>
    <s v="FashionUpgrade"/>
    <n v="2634"/>
    <x v="2"/>
  </r>
  <r>
    <x v="115"/>
    <s v="YouTube"/>
    <d v="2025-03-18T00:00:00"/>
    <s v="Reel"/>
    <s v="Explore the latest reel on Myntra! Trendy styles await."/>
    <n v="3704"/>
    <n v="186"/>
    <n v="458"/>
    <n v="25928"/>
    <n v="25081"/>
    <n v="131"/>
    <s v="FashionUpgrade"/>
    <n v="4348"/>
    <x v="2"/>
  </r>
  <r>
    <x v="116"/>
    <s v="Twitter"/>
    <d v="2024-11-04T00:00:00"/>
    <s v="Image"/>
    <s v="Explore the latest image on Myntra! Trendy styles await."/>
    <n v="1606"/>
    <n v="451"/>
    <n v="405"/>
    <n v="20878"/>
    <n v="20190"/>
    <n v="219"/>
    <s v="EndOfSeasonSale"/>
    <n v="2462"/>
    <x v="0"/>
  </r>
  <r>
    <x v="116"/>
    <s v="Twitter"/>
    <d v="2024-11-04T00:00:00"/>
    <s v="Image"/>
    <s v="Explore the latest image on Myntra! Trendy styles await."/>
    <n v="1606"/>
    <n v="451"/>
    <n v="405"/>
    <n v="20878"/>
    <n v="20190"/>
    <n v="219"/>
    <s v="EndOfSeasonSale"/>
    <n v="2462"/>
    <x v="2"/>
  </r>
  <r>
    <x v="117"/>
    <s v="Facebook"/>
    <d v="2024-11-04T00:00:00"/>
    <s v="Image"/>
    <s v="Explore the latest image on Myntra! Trendy styles await."/>
    <n v="4551"/>
    <n v="714"/>
    <n v="207"/>
    <n v="68265"/>
    <n v="67754"/>
    <n v="57"/>
    <s v="EndOfSeasonSale"/>
    <n v="5472"/>
    <x v="3"/>
  </r>
  <r>
    <x v="118"/>
    <s v="Instagram"/>
    <d v="2025-02-07T00:00:00"/>
    <s v="Reel"/>
    <s v="Explore the latest reel on Myntra! Trendy styles await."/>
    <n v="1970"/>
    <n v="675"/>
    <n v="478"/>
    <n v="9850"/>
    <n v="8924"/>
    <n v="117"/>
    <s v="StyleRevolution"/>
    <n v="3123"/>
    <x v="3"/>
  </r>
  <r>
    <x v="119"/>
    <s v="Facebook"/>
    <d v="2024-10-21T00:00:00"/>
    <s v="Story"/>
    <s v="Explore the latest story on Myntra! Trendy styles await."/>
    <n v="780"/>
    <n v="928"/>
    <n v="301"/>
    <n v="8580"/>
    <n v="8081"/>
    <n v="91"/>
    <s v="StyleRevolution"/>
    <n v="2009"/>
    <x v="0"/>
  </r>
  <r>
    <x v="119"/>
    <s v="Facebook"/>
    <d v="2024-10-21T00:00:00"/>
    <s v="Story"/>
    <s v="Explore the latest story on Myntra! Trendy styles await."/>
    <n v="780"/>
    <n v="928"/>
    <n v="301"/>
    <n v="8580"/>
    <n v="8081"/>
    <n v="91"/>
    <s v="StyleRevolution"/>
    <n v="2009"/>
    <x v="1"/>
  </r>
  <r>
    <x v="120"/>
    <s v="Instagram"/>
    <d v="2024-07-29T00:00:00"/>
    <s v="Story"/>
    <s v="Explore the latest story on Myntra! Trendy styles await."/>
    <n v="498"/>
    <n v="701"/>
    <n v="412"/>
    <n v="4980"/>
    <n v="4185"/>
    <n v="185"/>
    <s v="StyleRevolution"/>
    <n v="1611"/>
    <x v="4"/>
  </r>
  <r>
    <x v="120"/>
    <s v="Instagram"/>
    <d v="2024-07-29T00:00:00"/>
    <s v="Story"/>
    <s v="Explore the latest story on Myntra! Trendy styles await."/>
    <n v="498"/>
    <n v="701"/>
    <n v="412"/>
    <n v="4980"/>
    <n v="4185"/>
    <n v="185"/>
    <s v="StyleRevolution"/>
    <n v="1611"/>
    <x v="2"/>
  </r>
  <r>
    <x v="121"/>
    <s v="Instagram"/>
    <d v="2024-10-02T00:00:00"/>
    <s v="Text"/>
    <s v="Explore the latest text on Myntra! Trendy styles await."/>
    <n v="3432"/>
    <n v="869"/>
    <n v="123"/>
    <n v="54912"/>
    <n v="53916"/>
    <n v="264"/>
    <s v="EndOfSeasonSale"/>
    <n v="4424"/>
    <x v="1"/>
  </r>
  <r>
    <x v="121"/>
    <s v="Instagram"/>
    <d v="2024-10-02T00:00:00"/>
    <s v="Text"/>
    <s v="Explore the latest text on Myntra! Trendy styles await."/>
    <n v="3432"/>
    <n v="869"/>
    <n v="123"/>
    <n v="54912"/>
    <n v="53916"/>
    <n v="264"/>
    <s v="EndOfSeasonSale"/>
    <n v="4424"/>
    <x v="3"/>
  </r>
  <r>
    <x v="122"/>
    <s v="Instagram"/>
    <d v="2024-06-14T00:00:00"/>
    <s v="Story"/>
    <s v="Explore the latest story on Myntra! Trendy styles await."/>
    <n v="4363"/>
    <n v="649"/>
    <n v="140"/>
    <n v="21815"/>
    <n v="21481"/>
    <n v="157"/>
    <s v="EndOfSeasonSale"/>
    <n v="5152"/>
    <x v="0"/>
  </r>
  <r>
    <x v="122"/>
    <s v="Instagram"/>
    <d v="2024-06-14T00:00:00"/>
    <s v="Story"/>
    <s v="Explore the latest story on Myntra! Trendy styles await."/>
    <n v="4363"/>
    <n v="649"/>
    <n v="140"/>
    <n v="21815"/>
    <n v="21481"/>
    <n v="157"/>
    <s v="EndOfSeasonSale"/>
    <n v="5152"/>
    <x v="1"/>
  </r>
  <r>
    <x v="123"/>
    <s v="YouTube"/>
    <d v="2025-04-06T00:00:00"/>
    <s v="Carousel"/>
    <s v="Explore the latest carousel on Myntra! Trendy styles await."/>
    <n v="736"/>
    <n v="771"/>
    <n v="225"/>
    <n v="5152"/>
    <n v="4706"/>
    <n v="19"/>
    <s v="MyntraFestiveEdit"/>
    <n v="1732"/>
    <x v="2"/>
  </r>
  <r>
    <x v="124"/>
    <s v="Twitter"/>
    <d v="2024-09-08T00:00:00"/>
    <s v="Carousel"/>
    <s v="Explore the latest carousel on Myntra! Trendy styles await."/>
    <n v="3811"/>
    <n v="866"/>
    <n v="216"/>
    <n v="34299"/>
    <n v="34088"/>
    <n v="233"/>
    <s v="MyntraFestiveEdit"/>
    <n v="4893"/>
    <x v="2"/>
  </r>
  <r>
    <x v="125"/>
    <s v="Instagram"/>
    <d v="2025-03-28T00:00:00"/>
    <s v="Carousel"/>
    <s v="Explore the latest carousel on Myntra! Trendy styles await."/>
    <n v="4158"/>
    <n v="167"/>
    <n v="241"/>
    <n v="45738"/>
    <n v="45183"/>
    <n v="142"/>
    <s v="EndOfSeasonSale"/>
    <n v="4566"/>
    <x v="1"/>
  </r>
  <r>
    <x v="126"/>
    <s v="Facebook"/>
    <d v="2025-01-27T00:00:00"/>
    <s v="Reel"/>
    <s v="Explore the latest reel on Myntra! Trendy styles await."/>
    <n v="3452"/>
    <n v="652"/>
    <n v="442"/>
    <n v="65588"/>
    <n v="65049"/>
    <n v="158"/>
    <s v="FashionUpgrade"/>
    <n v="4546"/>
    <x v="0"/>
  </r>
  <r>
    <x v="126"/>
    <s v="Facebook"/>
    <d v="2025-01-27T00:00:00"/>
    <s v="Reel"/>
    <s v="Explore the latest reel on Myntra! Trendy styles await."/>
    <n v="3452"/>
    <n v="652"/>
    <n v="442"/>
    <n v="65588"/>
    <n v="65049"/>
    <n v="158"/>
    <s v="FashionUpgrade"/>
    <n v="4546"/>
    <x v="2"/>
  </r>
  <r>
    <x v="127"/>
    <s v="Twitter"/>
    <d v="2025-01-10T00:00:00"/>
    <s v="Image"/>
    <s v="Explore the latest image on Myntra! Trendy styles await."/>
    <n v="3092"/>
    <n v="106"/>
    <n v="291"/>
    <n v="27828"/>
    <n v="27217"/>
    <n v="102"/>
    <s v="StyleRevolution"/>
    <n v="3489"/>
    <x v="2"/>
  </r>
  <r>
    <x v="128"/>
    <s v="Twitter"/>
    <d v="2024-07-21T00:00:00"/>
    <s v="Text"/>
    <s v="Explore the latest text on Myntra! Trendy styles await."/>
    <n v="2147"/>
    <n v="430"/>
    <n v="393"/>
    <n v="17176"/>
    <n v="16483"/>
    <n v="170"/>
    <s v="StyleRevolution"/>
    <n v="2970"/>
    <x v="4"/>
  </r>
  <r>
    <x v="129"/>
    <s v="YouTube"/>
    <d v="2024-09-29T00:00:00"/>
    <s v="Reel"/>
    <s v="Explore the latest reel on Myntra! Trendy styles await."/>
    <n v="2936"/>
    <n v="439"/>
    <n v="44"/>
    <n v="38168"/>
    <n v="37571"/>
    <n v="22"/>
    <s v="MyntraFestiveEdit"/>
    <n v="3419"/>
    <x v="0"/>
  </r>
  <r>
    <x v="130"/>
    <s v="Instagram"/>
    <d v="2024-10-21T00:00:00"/>
    <s v="Reel"/>
    <s v="Explore the latest reel on Myntra! Trendy styles await."/>
    <n v="4840"/>
    <n v="658"/>
    <n v="211"/>
    <n v="43560"/>
    <n v="43225"/>
    <n v="57"/>
    <s v="EndOfSeasonSale"/>
    <n v="5709"/>
    <x v="0"/>
  </r>
  <r>
    <x v="130"/>
    <s v="Instagram"/>
    <d v="2024-10-21T00:00:00"/>
    <s v="Reel"/>
    <s v="Explore the latest reel on Myntra! Trendy styles await."/>
    <n v="4840"/>
    <n v="658"/>
    <n v="211"/>
    <n v="43560"/>
    <n v="43225"/>
    <n v="57"/>
    <s v="EndOfSeasonSale"/>
    <n v="5709"/>
    <x v="1"/>
  </r>
  <r>
    <x v="131"/>
    <s v="Instagram"/>
    <d v="2025-03-04T00:00:00"/>
    <s v="Story"/>
    <s v="Explore the latest story on Myntra! Trendy styles await."/>
    <n v="1947"/>
    <n v="842"/>
    <n v="101"/>
    <n v="21417"/>
    <n v="20967"/>
    <n v="186"/>
    <s v="EndOfSeasonSale"/>
    <n v="2890"/>
    <x v="1"/>
  </r>
  <r>
    <x v="132"/>
    <s v="Facebook"/>
    <d v="2025-02-06T00:00:00"/>
    <s v="Image"/>
    <s v="Explore the latest image on Myntra! Trendy styles await."/>
    <n v="2072"/>
    <n v="532"/>
    <n v="71"/>
    <n v="37296"/>
    <n v="36467"/>
    <n v="25"/>
    <s v="MyntraFestiveEdit"/>
    <n v="2675"/>
    <x v="0"/>
  </r>
  <r>
    <x v="133"/>
    <s v="Twitter"/>
    <d v="2025-04-24T00:00:00"/>
    <s v="Reel"/>
    <s v="Explore the latest reel on Myntra! Trendy styles await."/>
    <n v="3731"/>
    <n v="115"/>
    <n v="135"/>
    <n v="55965"/>
    <n v="55436"/>
    <n v="103"/>
    <s v="StyleRevolution"/>
    <n v="3981"/>
    <x v="4"/>
  </r>
  <r>
    <x v="134"/>
    <s v="Facebook"/>
    <d v="2024-11-28T00:00:00"/>
    <s v="Text"/>
    <s v="Explore the latest text on Myntra! Trendy styles await."/>
    <n v="4213"/>
    <n v="253"/>
    <n v="434"/>
    <n v="75834"/>
    <n v="75437"/>
    <n v="272"/>
    <s v="MyntraFestiveEdit"/>
    <n v="4900"/>
    <x v="3"/>
  </r>
  <r>
    <x v="135"/>
    <s v="Instagram"/>
    <d v="2024-07-11T00:00:00"/>
    <s v="Text"/>
    <s v="Explore the latest text on Myntra! Trendy styles await."/>
    <n v="3134"/>
    <n v="888"/>
    <n v="444"/>
    <n v="21938"/>
    <n v="21337"/>
    <n v="130"/>
    <s v="StyleRevolution"/>
    <n v="4466"/>
    <x v="0"/>
  </r>
  <r>
    <x v="135"/>
    <s v="Instagram"/>
    <d v="2024-07-11T00:00:00"/>
    <s v="Text"/>
    <s v="Explore the latest text on Myntra! Trendy styles await."/>
    <n v="3134"/>
    <n v="888"/>
    <n v="444"/>
    <n v="21938"/>
    <n v="21337"/>
    <n v="130"/>
    <s v="StyleRevolution"/>
    <n v="4466"/>
    <x v="1"/>
  </r>
  <r>
    <x v="136"/>
    <s v="Facebook"/>
    <d v="2024-07-31T00:00:00"/>
    <s v="Video"/>
    <s v="Explore the latest video on Myntra! Trendy styles await."/>
    <n v="3008"/>
    <n v="94"/>
    <n v="37"/>
    <n v="15040"/>
    <n v="14639"/>
    <n v="277"/>
    <s v="FashionUpgrade"/>
    <n v="3139"/>
    <x v="4"/>
  </r>
  <r>
    <x v="137"/>
    <s v="Twitter"/>
    <d v="2025-03-29T00:00:00"/>
    <s v="Image"/>
    <s v="Explore the latest image on Myntra! Trendy styles await."/>
    <n v="305"/>
    <n v="187"/>
    <n v="243"/>
    <n v="4575"/>
    <n v="3704"/>
    <n v="234"/>
    <s v="StyleRevolution"/>
    <n v="735"/>
    <x v="1"/>
  </r>
  <r>
    <x v="137"/>
    <s v="Twitter"/>
    <d v="2025-03-29T00:00:00"/>
    <s v="Image"/>
    <s v="Explore the latest image on Myntra! Trendy styles await."/>
    <n v="305"/>
    <n v="187"/>
    <n v="243"/>
    <n v="4575"/>
    <n v="3704"/>
    <n v="234"/>
    <s v="StyleRevolution"/>
    <n v="735"/>
    <x v="3"/>
  </r>
  <r>
    <x v="138"/>
    <s v="YouTube"/>
    <d v="2024-10-29T00:00:00"/>
    <s v="Text"/>
    <s v="Explore the latest text on Myntra! Trendy styles await."/>
    <n v="2746"/>
    <n v="156"/>
    <n v="203"/>
    <n v="32952"/>
    <n v="32147"/>
    <n v="147"/>
    <s v="EndOfSeasonSale"/>
    <n v="3105"/>
    <x v="1"/>
  </r>
  <r>
    <x v="138"/>
    <s v="YouTube"/>
    <d v="2024-10-29T00:00:00"/>
    <s v="Text"/>
    <s v="Explore the latest text on Myntra! Trendy styles await."/>
    <n v="2746"/>
    <n v="156"/>
    <n v="203"/>
    <n v="32952"/>
    <n v="32147"/>
    <n v="147"/>
    <s v="EndOfSeasonSale"/>
    <n v="3105"/>
    <x v="2"/>
  </r>
  <r>
    <x v="139"/>
    <s v="Facebook"/>
    <d v="2024-07-15T00:00:00"/>
    <s v="Image"/>
    <s v="Explore the latest image on Myntra! Trendy styles await."/>
    <n v="2291"/>
    <n v="78"/>
    <n v="485"/>
    <n v="18328"/>
    <n v="18101"/>
    <n v="10"/>
    <s v="FashionUpgrade"/>
    <n v="2854"/>
    <x v="4"/>
  </r>
  <r>
    <x v="140"/>
    <s v="Twitter"/>
    <d v="2024-08-31T00:00:00"/>
    <s v="Image"/>
    <s v="Explore the latest image on Myntra! Trendy styles await."/>
    <n v="3170"/>
    <n v="857"/>
    <n v="379"/>
    <n v="19020"/>
    <n v="18559"/>
    <n v="240"/>
    <s v="MyntraFestiveEdit"/>
    <n v="4406"/>
    <x v="0"/>
  </r>
  <r>
    <x v="141"/>
    <s v="YouTube"/>
    <d v="2025-03-25T00:00:00"/>
    <s v="Story"/>
    <s v="Explore the latest story on Myntra! Trendy styles await."/>
    <n v="2070"/>
    <n v="275"/>
    <n v="386"/>
    <n v="39330"/>
    <n v="38627"/>
    <n v="114"/>
    <s v="StyleRevolution"/>
    <n v="2731"/>
    <x v="0"/>
  </r>
  <r>
    <x v="142"/>
    <s v="YouTube"/>
    <d v="2024-10-02T00:00:00"/>
    <s v="Carousel"/>
    <s v="Explore the latest carousel on Myntra! Trendy styles await."/>
    <n v="80"/>
    <n v="362"/>
    <n v="80"/>
    <n v="1040"/>
    <n v="349"/>
    <n v="117"/>
    <s v="EndOfSeasonSale"/>
    <n v="522"/>
    <x v="1"/>
  </r>
  <r>
    <x v="142"/>
    <s v="YouTube"/>
    <d v="2024-10-02T00:00:00"/>
    <s v="Carousel"/>
    <s v="Explore the latest carousel on Myntra! Trendy styles await."/>
    <n v="80"/>
    <n v="362"/>
    <n v="80"/>
    <n v="1040"/>
    <n v="349"/>
    <n v="117"/>
    <s v="EndOfSeasonSale"/>
    <n v="522"/>
    <x v="2"/>
  </r>
  <r>
    <x v="143"/>
    <s v="YouTube"/>
    <d v="2024-10-28T00:00:00"/>
    <s v="Story"/>
    <s v="Explore the latest story on Myntra! Trendy styles await."/>
    <n v="4929"/>
    <n v="749"/>
    <n v="452"/>
    <n v="93651"/>
    <n v="92810"/>
    <n v="66"/>
    <s v="FashionUpgrade"/>
    <n v="6130"/>
    <x v="3"/>
  </r>
  <r>
    <x v="143"/>
    <s v="YouTube"/>
    <d v="2024-10-28T00:00:00"/>
    <s v="Story"/>
    <s v="Explore the latest story on Myntra! Trendy styles await."/>
    <n v="4929"/>
    <n v="749"/>
    <n v="452"/>
    <n v="93651"/>
    <n v="92810"/>
    <n v="66"/>
    <s v="FashionUpgrade"/>
    <n v="6130"/>
    <x v="2"/>
  </r>
  <r>
    <x v="144"/>
    <s v="Instagram"/>
    <d v="2024-08-12T00:00:00"/>
    <s v="Carousel"/>
    <s v="Explore the latest carousel on Myntra! Trendy styles await."/>
    <n v="1878"/>
    <n v="62"/>
    <n v="179"/>
    <n v="37560"/>
    <n v="36874"/>
    <n v="142"/>
    <s v="FashionUpgrade"/>
    <n v="2119"/>
    <x v="4"/>
  </r>
  <r>
    <x v="144"/>
    <s v="Instagram"/>
    <d v="2024-08-12T00:00:00"/>
    <s v="Carousel"/>
    <s v="Explore the latest carousel on Myntra! Trendy styles await."/>
    <n v="1878"/>
    <n v="62"/>
    <n v="179"/>
    <n v="37560"/>
    <n v="36874"/>
    <n v="142"/>
    <s v="FashionUpgrade"/>
    <n v="2119"/>
    <x v="3"/>
  </r>
  <r>
    <x v="145"/>
    <s v="YouTube"/>
    <d v="2024-06-05T00:00:00"/>
    <s v="Reel"/>
    <s v="Explore the latest reel on Myntra! Trendy styles await."/>
    <n v="3065"/>
    <n v="772"/>
    <n v="142"/>
    <n v="18390"/>
    <n v="17875"/>
    <n v="200"/>
    <s v="FashionUpgrade"/>
    <n v="3979"/>
    <x v="2"/>
  </r>
  <r>
    <x v="146"/>
    <s v="Instagram"/>
    <d v="2024-10-21T00:00:00"/>
    <s v="Reel"/>
    <s v="Explore the latest reel on Myntra! Trendy styles await."/>
    <n v="3256"/>
    <n v="459"/>
    <n v="266"/>
    <n v="26048"/>
    <n v="25529"/>
    <n v="143"/>
    <s v="MyntraFestiveEdit"/>
    <n v="3981"/>
    <x v="0"/>
  </r>
  <r>
    <x v="146"/>
    <s v="Instagram"/>
    <d v="2024-10-21T00:00:00"/>
    <s v="Reel"/>
    <s v="Explore the latest reel on Myntra! Trendy styles await."/>
    <n v="3256"/>
    <n v="459"/>
    <n v="266"/>
    <n v="26048"/>
    <n v="25529"/>
    <n v="143"/>
    <s v="MyntraFestiveEdit"/>
    <n v="3981"/>
    <x v="2"/>
  </r>
  <r>
    <x v="147"/>
    <s v="Instagram"/>
    <d v="2025-04-15T00:00:00"/>
    <s v="Video"/>
    <s v="Explore the latest video on Myntra! Trendy styles await."/>
    <n v="4133"/>
    <n v="466"/>
    <n v="327"/>
    <n v="24798"/>
    <n v="24620"/>
    <n v="176"/>
    <s v="EndOfSeasonSale"/>
    <n v="4926"/>
    <x v="2"/>
  </r>
  <r>
    <x v="148"/>
    <s v="Twitter"/>
    <d v="2024-06-16T00:00:00"/>
    <s v="Video"/>
    <s v="Explore the latest video on Myntra! Trendy styles await."/>
    <n v="1702"/>
    <n v="750"/>
    <n v="179"/>
    <n v="34040"/>
    <n v="33174"/>
    <n v="76"/>
    <s v="MyntraFestiveEdit"/>
    <n v="2631"/>
    <x v="3"/>
  </r>
  <r>
    <x v="149"/>
    <s v="YouTube"/>
    <d v="2024-08-22T00:00:00"/>
    <s v="Carousel"/>
    <s v="Explore the latest carousel on Myntra! Trendy styles await."/>
    <n v="4295"/>
    <n v="853"/>
    <n v="325"/>
    <n v="85900"/>
    <n v="85788"/>
    <n v="290"/>
    <s v="EndOfSeasonSale"/>
    <n v="5473"/>
    <x v="3"/>
  </r>
  <r>
    <x v="149"/>
    <s v="YouTube"/>
    <d v="2024-08-22T00:00:00"/>
    <s v="Carousel"/>
    <s v="Explore the latest carousel on Myntra! Trendy styles await."/>
    <n v="4295"/>
    <n v="853"/>
    <n v="325"/>
    <n v="85900"/>
    <n v="85788"/>
    <n v="290"/>
    <s v="EndOfSeasonSale"/>
    <n v="5473"/>
    <x v="0"/>
  </r>
  <r>
    <x v="150"/>
    <s v="Instagram"/>
    <d v="2024-07-26T00:00:00"/>
    <s v="Image"/>
    <s v="Explore the latest image on Myntra! Trendy styles await."/>
    <n v="3559"/>
    <n v="59"/>
    <n v="289"/>
    <n v="35590"/>
    <n v="35105"/>
    <n v="122"/>
    <s v="MyntraFestiveEdit"/>
    <n v="3907"/>
    <x v="3"/>
  </r>
  <r>
    <x v="150"/>
    <s v="Instagram"/>
    <d v="2024-07-26T00:00:00"/>
    <s v="Image"/>
    <s v="Explore the latest image on Myntra! Trendy styles await."/>
    <n v="3559"/>
    <n v="59"/>
    <n v="289"/>
    <n v="35590"/>
    <n v="35105"/>
    <n v="122"/>
    <s v="MyntraFestiveEdit"/>
    <n v="3907"/>
    <x v="2"/>
  </r>
  <r>
    <x v="151"/>
    <s v="Facebook"/>
    <d v="2025-04-22T00:00:00"/>
    <s v="Image"/>
    <s v="Explore the latest image on Myntra! Trendy styles await."/>
    <n v="4804"/>
    <n v="550"/>
    <n v="270"/>
    <n v="28824"/>
    <n v="28370"/>
    <n v="47"/>
    <s v="StyleRevolution"/>
    <n v="5624"/>
    <x v="0"/>
  </r>
  <r>
    <x v="151"/>
    <s v="Facebook"/>
    <d v="2025-04-22T00:00:00"/>
    <s v="Image"/>
    <s v="Explore the latest image on Myntra! Trendy styles await."/>
    <n v="4804"/>
    <n v="550"/>
    <n v="270"/>
    <n v="28824"/>
    <n v="28370"/>
    <n v="47"/>
    <s v="StyleRevolution"/>
    <n v="5624"/>
    <x v="2"/>
  </r>
  <r>
    <x v="152"/>
    <s v="Twitter"/>
    <d v="2025-01-01T00:00:00"/>
    <s v="Video"/>
    <s v="Explore the latest video on Myntra! Trendy styles await."/>
    <n v="754"/>
    <n v="197"/>
    <n v="257"/>
    <n v="6786"/>
    <n v="6221"/>
    <n v="212"/>
    <s v="MyntraFestiveEdit"/>
    <n v="1208"/>
    <x v="4"/>
  </r>
  <r>
    <x v="152"/>
    <s v="Twitter"/>
    <d v="2025-01-01T00:00:00"/>
    <s v="Video"/>
    <s v="Explore the latest video on Myntra! Trendy styles await."/>
    <n v="754"/>
    <n v="197"/>
    <n v="257"/>
    <n v="6786"/>
    <n v="6221"/>
    <n v="212"/>
    <s v="MyntraFestiveEdit"/>
    <n v="1208"/>
    <x v="3"/>
  </r>
  <r>
    <x v="153"/>
    <s v="Instagram"/>
    <d v="2024-10-09T00:00:00"/>
    <s v="Carousel"/>
    <s v="Explore the latest carousel on Myntra! Trendy styles await."/>
    <n v="985"/>
    <n v="932"/>
    <n v="287"/>
    <n v="6895"/>
    <n v="6757"/>
    <n v="64"/>
    <s v="EndOfSeasonSale"/>
    <n v="2204"/>
    <x v="0"/>
  </r>
  <r>
    <x v="153"/>
    <s v="Instagram"/>
    <d v="2024-10-09T00:00:00"/>
    <s v="Carousel"/>
    <s v="Explore the latest carousel on Myntra! Trendy styles await."/>
    <n v="985"/>
    <n v="932"/>
    <n v="287"/>
    <n v="6895"/>
    <n v="6757"/>
    <n v="64"/>
    <s v="EndOfSeasonSale"/>
    <n v="2204"/>
    <x v="1"/>
  </r>
  <r>
    <x v="154"/>
    <s v="YouTube"/>
    <d v="2024-12-21T00:00:00"/>
    <s v="Image"/>
    <s v="Explore the latest image on Myntra! Trendy styles await."/>
    <n v="2283"/>
    <n v="210"/>
    <n v="130"/>
    <n v="22830"/>
    <n v="22617"/>
    <n v="143"/>
    <s v="MyntraFestiveEdit"/>
    <n v="2623"/>
    <x v="1"/>
  </r>
  <r>
    <x v="154"/>
    <s v="YouTube"/>
    <d v="2024-12-21T00:00:00"/>
    <s v="Image"/>
    <s v="Explore the latest image on Myntra! Trendy styles await."/>
    <n v="2283"/>
    <n v="210"/>
    <n v="130"/>
    <n v="22830"/>
    <n v="22617"/>
    <n v="143"/>
    <s v="MyntraFestiveEdit"/>
    <n v="2623"/>
    <x v="2"/>
  </r>
  <r>
    <x v="155"/>
    <s v="Facebook"/>
    <d v="2024-10-22T00:00:00"/>
    <s v="Carousel"/>
    <s v="Explore the latest carousel on Myntra! Trendy styles await."/>
    <n v="3352"/>
    <n v="941"/>
    <n v="482"/>
    <n v="43576"/>
    <n v="43338"/>
    <n v="240"/>
    <s v="MyntraFestiveEdit"/>
    <n v="4775"/>
    <x v="3"/>
  </r>
  <r>
    <x v="156"/>
    <s v="YouTube"/>
    <d v="2024-07-23T00:00:00"/>
    <s v="Story"/>
    <s v="Explore the latest story on Myntra! Trendy styles await."/>
    <n v="4775"/>
    <n v="173"/>
    <n v="206"/>
    <n v="47750"/>
    <n v="47544"/>
    <n v="187"/>
    <s v="StyleRevolution"/>
    <n v="5154"/>
    <x v="2"/>
  </r>
  <r>
    <x v="156"/>
    <s v="YouTube"/>
    <d v="2024-07-23T00:00:00"/>
    <s v="Story"/>
    <s v="Explore the latest story on Myntra! Trendy styles await."/>
    <n v="4775"/>
    <n v="173"/>
    <n v="206"/>
    <n v="47750"/>
    <n v="47544"/>
    <n v="187"/>
    <s v="StyleRevolution"/>
    <n v="5154"/>
    <x v="3"/>
  </r>
  <r>
    <x v="157"/>
    <s v="Instagram"/>
    <d v="2024-08-11T00:00:00"/>
    <s v="Story"/>
    <s v="Explore the latest story on Myntra! Trendy styles await."/>
    <n v="1762"/>
    <n v="405"/>
    <n v="423"/>
    <n v="22906"/>
    <n v="21925"/>
    <n v="25"/>
    <s v="EndOfSeasonSale"/>
    <n v="2590"/>
    <x v="4"/>
  </r>
  <r>
    <x v="158"/>
    <s v="Facebook"/>
    <d v="2024-11-25T00:00:00"/>
    <s v="Story"/>
    <s v="Explore the latest story on Myntra! Trendy styles await."/>
    <n v="2120"/>
    <n v="158"/>
    <n v="488"/>
    <n v="12720"/>
    <n v="12085"/>
    <n v="17"/>
    <s v="EndOfSeasonSale"/>
    <n v="2766"/>
    <x v="2"/>
  </r>
  <r>
    <x v="158"/>
    <s v="Facebook"/>
    <d v="2024-11-25T00:00:00"/>
    <s v="Story"/>
    <s v="Explore the latest story on Myntra! Trendy styles await."/>
    <n v="2120"/>
    <n v="158"/>
    <n v="488"/>
    <n v="12720"/>
    <n v="12085"/>
    <n v="17"/>
    <s v="EndOfSeasonSale"/>
    <n v="2766"/>
    <x v="3"/>
  </r>
  <r>
    <x v="159"/>
    <s v="Twitter"/>
    <d v="2024-08-24T00:00:00"/>
    <s v="Video"/>
    <s v="Explore the latest video on Myntra! Trendy styles await."/>
    <n v="1082"/>
    <n v="209"/>
    <n v="484"/>
    <n v="19476"/>
    <n v="18654"/>
    <n v="20"/>
    <s v="StyleRevolution"/>
    <n v="1775"/>
    <x v="2"/>
  </r>
  <r>
    <x v="160"/>
    <s v="Twitter"/>
    <d v="2025-02-19T00:00:00"/>
    <s v="Text"/>
    <s v="Explore the latest text on Myntra! Trendy styles await."/>
    <n v="4671"/>
    <n v="876"/>
    <n v="366"/>
    <n v="51381"/>
    <n v="50565"/>
    <n v="245"/>
    <s v="EndOfSeasonSale"/>
    <n v="5913"/>
    <x v="0"/>
  </r>
  <r>
    <x v="161"/>
    <s v="Facebook"/>
    <d v="2025-04-01T00:00:00"/>
    <s v="Story"/>
    <s v="Explore the latest story on Myntra! Trendy styles await."/>
    <n v="3430"/>
    <n v="566"/>
    <n v="164"/>
    <n v="48020"/>
    <n v="47305"/>
    <n v="120"/>
    <s v="EndOfSeasonSale"/>
    <n v="4160"/>
    <x v="3"/>
  </r>
  <r>
    <x v="162"/>
    <s v="Instagram"/>
    <d v="2025-04-08T00:00:00"/>
    <s v="Image"/>
    <s v="Explore the latest image on Myntra! Trendy styles await."/>
    <n v="4501"/>
    <n v="375"/>
    <n v="323"/>
    <n v="22505"/>
    <n v="21836"/>
    <n v="132"/>
    <s v="StyleRevolution"/>
    <n v="5199"/>
    <x v="1"/>
  </r>
  <r>
    <x v="163"/>
    <s v="YouTube"/>
    <d v="2025-02-27T00:00:00"/>
    <s v="Text"/>
    <s v="Explore the latest text on Myntra! Trendy styles await."/>
    <n v="4934"/>
    <n v="971"/>
    <n v="156"/>
    <n v="39472"/>
    <n v="39025"/>
    <n v="169"/>
    <s v="EndOfSeasonSale"/>
    <n v="6061"/>
    <x v="4"/>
  </r>
  <r>
    <x v="163"/>
    <s v="YouTube"/>
    <d v="2025-02-27T00:00:00"/>
    <s v="Text"/>
    <s v="Explore the latest text on Myntra! Trendy styles await."/>
    <n v="4934"/>
    <n v="971"/>
    <n v="156"/>
    <n v="39472"/>
    <n v="39025"/>
    <n v="169"/>
    <s v="EndOfSeasonSale"/>
    <n v="6061"/>
    <x v="2"/>
  </r>
  <r>
    <x v="164"/>
    <s v="Twitter"/>
    <d v="2024-12-11T00:00:00"/>
    <s v="Text"/>
    <s v="Explore the latest text on Myntra! Trendy styles await."/>
    <n v="3239"/>
    <n v="43"/>
    <n v="211"/>
    <n v="22673"/>
    <n v="22171"/>
    <n v="230"/>
    <s v="EndOfSeasonSale"/>
    <n v="3493"/>
    <x v="3"/>
  </r>
  <r>
    <x v="164"/>
    <s v="Twitter"/>
    <d v="2024-12-11T00:00:00"/>
    <s v="Text"/>
    <s v="Explore the latest text on Myntra! Trendy styles await."/>
    <n v="3239"/>
    <n v="43"/>
    <n v="211"/>
    <n v="22673"/>
    <n v="22171"/>
    <n v="230"/>
    <s v="EndOfSeasonSale"/>
    <n v="3493"/>
    <x v="2"/>
  </r>
  <r>
    <x v="165"/>
    <s v="Twitter"/>
    <d v="2025-02-16T00:00:00"/>
    <s v="Reel"/>
    <s v="Explore the latest reel on Myntra! Trendy styles await."/>
    <n v="1076"/>
    <n v="313"/>
    <n v="306"/>
    <n v="11836"/>
    <n v="11596"/>
    <n v="104"/>
    <s v="EndOfSeasonSale"/>
    <n v="1695"/>
    <x v="4"/>
  </r>
  <r>
    <x v="166"/>
    <s v="Instagram"/>
    <d v="2024-11-28T00:00:00"/>
    <s v="Text"/>
    <s v="Explore the latest text on Myntra! Trendy styles await."/>
    <n v="4771"/>
    <n v="818"/>
    <n v="56"/>
    <n v="57252"/>
    <n v="56378"/>
    <n v="150"/>
    <s v="EndOfSeasonSale"/>
    <n v="5645"/>
    <x v="0"/>
  </r>
  <r>
    <x v="167"/>
    <s v="Facebook"/>
    <d v="2024-11-12T00:00:00"/>
    <s v="Text"/>
    <s v="Explore the latest text on Myntra! Trendy styles await."/>
    <n v="2418"/>
    <n v="754"/>
    <n v="54"/>
    <n v="43524"/>
    <n v="42743"/>
    <n v="182"/>
    <s v="StyleRevolution"/>
    <n v="3226"/>
    <x v="1"/>
  </r>
  <r>
    <x v="167"/>
    <s v="Facebook"/>
    <d v="2024-11-12T00:00:00"/>
    <s v="Text"/>
    <s v="Explore the latest text on Myntra! Trendy styles await."/>
    <n v="2418"/>
    <n v="754"/>
    <n v="54"/>
    <n v="43524"/>
    <n v="42743"/>
    <n v="182"/>
    <s v="StyleRevolution"/>
    <n v="3226"/>
    <x v="3"/>
  </r>
  <r>
    <x v="168"/>
    <s v="YouTube"/>
    <d v="2024-12-03T00:00:00"/>
    <s v="Video"/>
    <s v="Explore the latest video on Myntra! Trendy styles await."/>
    <n v="3809"/>
    <n v="273"/>
    <n v="200"/>
    <n v="34281"/>
    <n v="33534"/>
    <n v="83"/>
    <s v="MyntraFestiveEdit"/>
    <n v="4282"/>
    <x v="3"/>
  </r>
  <r>
    <x v="169"/>
    <s v="Twitter"/>
    <d v="2025-04-28T00:00:00"/>
    <s v="Text"/>
    <s v="Explore the latest text on Myntra! Trendy styles await."/>
    <n v="3577"/>
    <n v="596"/>
    <n v="493"/>
    <n v="67963"/>
    <n v="67839"/>
    <n v="53"/>
    <s v="StyleRevolution"/>
    <n v="4666"/>
    <x v="2"/>
  </r>
  <r>
    <x v="169"/>
    <s v="Twitter"/>
    <d v="2025-04-28T00:00:00"/>
    <s v="Text"/>
    <s v="Explore the latest text on Myntra! Trendy styles await."/>
    <n v="3577"/>
    <n v="596"/>
    <n v="493"/>
    <n v="67963"/>
    <n v="67839"/>
    <n v="53"/>
    <s v="StyleRevolution"/>
    <n v="4666"/>
    <x v="3"/>
  </r>
  <r>
    <x v="170"/>
    <s v="YouTube"/>
    <d v="2024-12-31T00:00:00"/>
    <s v="Video"/>
    <s v="Explore the latest video on Myntra! Trendy styles await."/>
    <n v="1018"/>
    <n v="447"/>
    <n v="332"/>
    <n v="18324"/>
    <n v="18164"/>
    <n v="38"/>
    <s v="StyleRevolution"/>
    <n v="1797"/>
    <x v="0"/>
  </r>
  <r>
    <x v="170"/>
    <s v="YouTube"/>
    <d v="2024-12-31T00:00:00"/>
    <s v="Video"/>
    <s v="Explore the latest video on Myntra! Trendy styles await."/>
    <n v="1018"/>
    <n v="447"/>
    <n v="332"/>
    <n v="18324"/>
    <n v="18164"/>
    <n v="38"/>
    <s v="StyleRevolution"/>
    <n v="1797"/>
    <x v="1"/>
  </r>
  <r>
    <x v="171"/>
    <s v="Facebook"/>
    <d v="2024-08-14T00:00:00"/>
    <s v="Carousel"/>
    <s v="Explore the latest carousel on Myntra! Trendy styles await."/>
    <n v="3073"/>
    <n v="553"/>
    <n v="174"/>
    <n v="52241"/>
    <n v="51605"/>
    <n v="246"/>
    <s v="StyleRevolution"/>
    <n v="3800"/>
    <x v="1"/>
  </r>
  <r>
    <x v="171"/>
    <s v="Facebook"/>
    <d v="2024-08-14T00:00:00"/>
    <s v="Carousel"/>
    <s v="Explore the latest carousel on Myntra! Trendy styles await."/>
    <n v="3073"/>
    <n v="553"/>
    <n v="174"/>
    <n v="52241"/>
    <n v="51605"/>
    <n v="246"/>
    <s v="StyleRevolution"/>
    <n v="3800"/>
    <x v="2"/>
  </r>
  <r>
    <x v="172"/>
    <s v="Twitter"/>
    <d v="2024-12-05T00:00:00"/>
    <s v="Video"/>
    <s v="Explore the latest video on Myntra! Trendy styles await."/>
    <n v="1330"/>
    <n v="925"/>
    <n v="35"/>
    <n v="15960"/>
    <n v="15379"/>
    <n v="229"/>
    <s v="StyleRevolution"/>
    <n v="2290"/>
    <x v="4"/>
  </r>
  <r>
    <x v="172"/>
    <s v="Twitter"/>
    <d v="2024-12-05T00:00:00"/>
    <s v="Video"/>
    <s v="Explore the latest video on Myntra! Trendy styles await."/>
    <n v="1330"/>
    <n v="925"/>
    <n v="35"/>
    <n v="15960"/>
    <n v="15379"/>
    <n v="229"/>
    <s v="StyleRevolution"/>
    <n v="2290"/>
    <x v="3"/>
  </r>
  <r>
    <x v="173"/>
    <s v="Facebook"/>
    <d v="2024-06-22T00:00:00"/>
    <s v="Text"/>
    <s v="Explore the latest text on Myntra! Trendy styles await."/>
    <n v="3828"/>
    <n v="148"/>
    <n v="253"/>
    <n v="30624"/>
    <n v="30229"/>
    <n v="235"/>
    <s v="StyleRevolution"/>
    <n v="4229"/>
    <x v="0"/>
  </r>
  <r>
    <x v="173"/>
    <s v="Facebook"/>
    <d v="2024-06-22T00:00:00"/>
    <s v="Text"/>
    <s v="Explore the latest text on Myntra! Trendy styles await."/>
    <n v="3828"/>
    <n v="148"/>
    <n v="253"/>
    <n v="30624"/>
    <n v="30229"/>
    <n v="235"/>
    <s v="StyleRevolution"/>
    <n v="4229"/>
    <x v="2"/>
  </r>
  <r>
    <x v="174"/>
    <s v="Instagram"/>
    <d v="2025-01-17T00:00:00"/>
    <s v="Reel"/>
    <s v="Explore the latest reel on Myntra! Trendy styles await."/>
    <n v="142"/>
    <n v="784"/>
    <n v="183"/>
    <n v="1704"/>
    <n v="995"/>
    <n v="154"/>
    <s v="FashionUpgrade"/>
    <n v="1109"/>
    <x v="0"/>
  </r>
  <r>
    <x v="175"/>
    <s v="Facebook"/>
    <d v="2024-06-20T00:00:00"/>
    <s v="Video"/>
    <s v="Explore the latest video on Myntra! Trendy styles await."/>
    <n v="3798"/>
    <n v="31"/>
    <n v="279"/>
    <n v="75960"/>
    <n v="75813"/>
    <n v="266"/>
    <s v="EndOfSeasonSale"/>
    <n v="4108"/>
    <x v="1"/>
  </r>
  <r>
    <x v="176"/>
    <s v="Instagram"/>
    <d v="2024-07-10T00:00:00"/>
    <s v="Carousel"/>
    <s v="Explore the latest carousel on Myntra! Trendy styles await."/>
    <n v="3099"/>
    <n v="694"/>
    <n v="171"/>
    <n v="43386"/>
    <n v="42921"/>
    <n v="52"/>
    <s v="StyleRevolution"/>
    <n v="3964"/>
    <x v="4"/>
  </r>
  <r>
    <x v="177"/>
    <s v="Instagram"/>
    <d v="2024-11-07T00:00:00"/>
    <s v="Video"/>
    <s v="Explore the latest video on Myntra! Trendy styles await."/>
    <n v="129"/>
    <n v="643"/>
    <n v="136"/>
    <n v="1290"/>
    <n v="839"/>
    <n v="238"/>
    <s v="StyleRevolution"/>
    <n v="908"/>
    <x v="2"/>
  </r>
  <r>
    <x v="177"/>
    <s v="Instagram"/>
    <d v="2024-11-07T00:00:00"/>
    <s v="Video"/>
    <s v="Explore the latest video on Myntra! Trendy styles await."/>
    <n v="129"/>
    <n v="643"/>
    <n v="136"/>
    <n v="1290"/>
    <n v="839"/>
    <n v="238"/>
    <s v="StyleRevolution"/>
    <n v="908"/>
    <x v="4"/>
  </r>
  <r>
    <x v="178"/>
    <s v="Facebook"/>
    <d v="2024-07-15T00:00:00"/>
    <s v="Carousel"/>
    <s v="Explore the latest carousel on Myntra! Trendy styles await."/>
    <n v="3796"/>
    <n v="667"/>
    <n v="395"/>
    <n v="64532"/>
    <n v="63550"/>
    <n v="292"/>
    <s v="FashionUpgrade"/>
    <n v="4858"/>
    <x v="2"/>
  </r>
  <r>
    <x v="179"/>
    <s v="YouTube"/>
    <d v="2024-12-03T00:00:00"/>
    <s v="Text"/>
    <s v="Explore the latest text on Myntra! Trendy styles await."/>
    <n v="3711"/>
    <n v="352"/>
    <n v="290"/>
    <n v="48243"/>
    <n v="47579"/>
    <n v="11"/>
    <s v="StyleRevolution"/>
    <n v="4353"/>
    <x v="2"/>
  </r>
  <r>
    <x v="179"/>
    <s v="YouTube"/>
    <d v="2024-12-03T00:00:00"/>
    <s v="Text"/>
    <s v="Explore the latest text on Myntra! Trendy styles await."/>
    <n v="3711"/>
    <n v="352"/>
    <n v="290"/>
    <n v="48243"/>
    <n v="47579"/>
    <n v="11"/>
    <s v="StyleRevolution"/>
    <n v="4353"/>
    <x v="4"/>
  </r>
  <r>
    <x v="180"/>
    <s v="YouTube"/>
    <d v="2025-03-21T00:00:00"/>
    <s v="Image"/>
    <s v="Explore the latest image on Myntra! Trendy styles await."/>
    <n v="606"/>
    <n v="789"/>
    <n v="470"/>
    <n v="7878"/>
    <n v="7389"/>
    <n v="239"/>
    <s v="EndOfSeasonSale"/>
    <n v="1865"/>
    <x v="0"/>
  </r>
  <r>
    <x v="181"/>
    <s v="Facebook"/>
    <d v="2024-07-31T00:00:00"/>
    <s v="Image"/>
    <s v="Explore the latest image on Myntra! Trendy styles await."/>
    <n v="4689"/>
    <n v="134"/>
    <n v="403"/>
    <n v="51579"/>
    <n v="50924"/>
    <n v="173"/>
    <s v="FashionUpgrade"/>
    <n v="5226"/>
    <x v="4"/>
  </r>
  <r>
    <x v="182"/>
    <s v="Instagram"/>
    <d v="2024-12-17T00:00:00"/>
    <s v="Story"/>
    <s v="Explore the latest story on Myntra! Trendy styles await."/>
    <n v="360"/>
    <n v="590"/>
    <n v="393"/>
    <n v="4680"/>
    <n v="4322"/>
    <n v="208"/>
    <s v="EndOfSeasonSale"/>
    <n v="1343"/>
    <x v="2"/>
  </r>
  <r>
    <x v="182"/>
    <s v="Instagram"/>
    <d v="2024-12-17T00:00:00"/>
    <s v="Story"/>
    <s v="Explore the latest story on Myntra! Trendy styles await."/>
    <n v="360"/>
    <n v="590"/>
    <n v="393"/>
    <n v="4680"/>
    <n v="4322"/>
    <n v="208"/>
    <s v="EndOfSeasonSale"/>
    <n v="1343"/>
    <x v="4"/>
  </r>
  <r>
    <x v="183"/>
    <s v="Twitter"/>
    <d v="2024-07-28T00:00:00"/>
    <s v="Image"/>
    <s v="Explore the latest image on Myntra! Trendy styles await."/>
    <n v="3215"/>
    <n v="960"/>
    <n v="202"/>
    <n v="32150"/>
    <n v="31404"/>
    <n v="251"/>
    <s v="MyntraFestiveEdit"/>
    <n v="4377"/>
    <x v="2"/>
  </r>
  <r>
    <x v="184"/>
    <s v="Instagram"/>
    <d v="2025-01-11T00:00:00"/>
    <s v="Carousel"/>
    <s v="Explore the latest carousel on Myntra! Trendy styles await."/>
    <n v="4523"/>
    <n v="61"/>
    <n v="157"/>
    <n v="49753"/>
    <n v="49329"/>
    <n v="71"/>
    <s v="StyleRevolution"/>
    <n v="4741"/>
    <x v="0"/>
  </r>
  <r>
    <x v="184"/>
    <s v="Instagram"/>
    <d v="2025-01-11T00:00:00"/>
    <s v="Carousel"/>
    <s v="Explore the latest carousel on Myntra! Trendy styles await."/>
    <n v="4523"/>
    <n v="61"/>
    <n v="157"/>
    <n v="49753"/>
    <n v="49329"/>
    <n v="71"/>
    <s v="StyleRevolution"/>
    <n v="4741"/>
    <x v="3"/>
  </r>
  <r>
    <x v="185"/>
    <s v="Facebook"/>
    <d v="2024-08-24T00:00:00"/>
    <s v="Carousel"/>
    <s v="Explore the latest carousel on Myntra! Trendy styles await."/>
    <n v="4292"/>
    <n v="51"/>
    <n v="392"/>
    <n v="55796"/>
    <n v="54826"/>
    <n v="264"/>
    <s v="FashionUpgrade"/>
    <n v="4735"/>
    <x v="3"/>
  </r>
  <r>
    <x v="185"/>
    <s v="Facebook"/>
    <d v="2024-08-24T00:00:00"/>
    <s v="Carousel"/>
    <s v="Explore the latest carousel on Myntra! Trendy styles await."/>
    <n v="4292"/>
    <n v="51"/>
    <n v="392"/>
    <n v="55796"/>
    <n v="54826"/>
    <n v="264"/>
    <s v="FashionUpgrade"/>
    <n v="4735"/>
    <x v="2"/>
  </r>
  <r>
    <x v="186"/>
    <s v="Twitter"/>
    <d v="2024-12-22T00:00:00"/>
    <s v="Reel"/>
    <s v="Explore the latest reel on Myntra! Trendy styles await."/>
    <n v="1644"/>
    <n v="546"/>
    <n v="150"/>
    <n v="27948"/>
    <n v="27184"/>
    <n v="300"/>
    <s v="FashionUpgrade"/>
    <n v="2340"/>
    <x v="0"/>
  </r>
  <r>
    <x v="186"/>
    <s v="Twitter"/>
    <d v="2024-12-22T00:00:00"/>
    <s v="Reel"/>
    <s v="Explore the latest reel on Myntra! Trendy styles await."/>
    <n v="1644"/>
    <n v="546"/>
    <n v="150"/>
    <n v="27948"/>
    <n v="27184"/>
    <n v="300"/>
    <s v="FashionUpgrade"/>
    <n v="2340"/>
    <x v="3"/>
  </r>
  <r>
    <x v="187"/>
    <s v="YouTube"/>
    <d v="2024-06-06T00:00:00"/>
    <s v="Reel"/>
    <s v="Explore the latest reel on Myntra! Trendy styles await."/>
    <n v="2728"/>
    <n v="533"/>
    <n v="215"/>
    <n v="40920"/>
    <n v="40816"/>
    <n v="137"/>
    <s v="EndOfSeasonSale"/>
    <n v="3476"/>
    <x v="0"/>
  </r>
  <r>
    <x v="188"/>
    <s v="Facebook"/>
    <d v="2025-03-24T00:00:00"/>
    <s v="Reel"/>
    <s v="Explore the latest reel on Myntra! Trendy styles await."/>
    <n v="3360"/>
    <n v="525"/>
    <n v="500"/>
    <n v="60480"/>
    <n v="59610"/>
    <n v="192"/>
    <s v="FashionUpgrade"/>
    <n v="4385"/>
    <x v="0"/>
  </r>
  <r>
    <x v="188"/>
    <s v="Facebook"/>
    <d v="2025-03-24T00:00:00"/>
    <s v="Reel"/>
    <s v="Explore the latest reel on Myntra! Trendy styles await."/>
    <n v="3360"/>
    <n v="525"/>
    <n v="500"/>
    <n v="60480"/>
    <n v="59610"/>
    <n v="192"/>
    <s v="FashionUpgrade"/>
    <n v="4385"/>
    <x v="2"/>
  </r>
  <r>
    <x v="189"/>
    <s v="YouTube"/>
    <d v="2024-10-04T00:00:00"/>
    <s v="Text"/>
    <s v="Explore the latest text on Myntra! Trendy styles await."/>
    <n v="1963"/>
    <n v="213"/>
    <n v="19"/>
    <n v="39260"/>
    <n v="38771"/>
    <n v="145"/>
    <s v="FashionUpgrade"/>
    <n v="2195"/>
    <x v="2"/>
  </r>
  <r>
    <x v="190"/>
    <s v="YouTube"/>
    <d v="2024-12-03T00:00:00"/>
    <s v="Story"/>
    <s v="Explore the latest story on Myntra! Trendy styles await."/>
    <n v="4285"/>
    <n v="886"/>
    <n v="376"/>
    <n v="55705"/>
    <n v="55556"/>
    <n v="51"/>
    <s v="StyleRevolution"/>
    <n v="5547"/>
    <x v="1"/>
  </r>
  <r>
    <x v="190"/>
    <s v="YouTube"/>
    <d v="2024-12-03T00:00:00"/>
    <s v="Story"/>
    <s v="Explore the latest story on Myntra! Trendy styles await."/>
    <n v="4285"/>
    <n v="886"/>
    <n v="376"/>
    <n v="55705"/>
    <n v="55556"/>
    <n v="51"/>
    <s v="StyleRevolution"/>
    <n v="5547"/>
    <x v="4"/>
  </r>
  <r>
    <x v="191"/>
    <s v="Instagram"/>
    <d v="2024-11-29T00:00:00"/>
    <s v="Video"/>
    <s v="Explore the latest video on Myntra! Trendy styles await."/>
    <n v="1176"/>
    <n v="464"/>
    <n v="394"/>
    <n v="14112"/>
    <n v="13588"/>
    <n v="272"/>
    <s v="FashionUpgrade"/>
    <n v="2034"/>
    <x v="4"/>
  </r>
  <r>
    <x v="192"/>
    <s v="Twitter"/>
    <d v="2024-09-11T00:00:00"/>
    <s v="Image"/>
    <s v="Explore the latest image on Myntra! Trendy styles await."/>
    <n v="4858"/>
    <n v="317"/>
    <n v="129"/>
    <n v="53438"/>
    <n v="52687"/>
    <n v="223"/>
    <s v="FashionUpgrade"/>
    <n v="5304"/>
    <x v="4"/>
  </r>
  <r>
    <x v="192"/>
    <s v="Twitter"/>
    <d v="2024-09-11T00:00:00"/>
    <s v="Image"/>
    <s v="Explore the latest image on Myntra! Trendy styles await."/>
    <n v="4858"/>
    <n v="317"/>
    <n v="129"/>
    <n v="53438"/>
    <n v="52687"/>
    <n v="223"/>
    <s v="FashionUpgrade"/>
    <n v="5304"/>
    <x v="3"/>
  </r>
  <r>
    <x v="193"/>
    <s v="YouTube"/>
    <d v="2024-10-02T00:00:00"/>
    <s v="Story"/>
    <s v="Explore the latest story on Myntra! Trendy styles await."/>
    <n v="4350"/>
    <n v="771"/>
    <n v="7"/>
    <n v="60900"/>
    <n v="60592"/>
    <n v="195"/>
    <s v="EndOfSeasonSale"/>
    <n v="5128"/>
    <x v="4"/>
  </r>
  <r>
    <x v="193"/>
    <s v="YouTube"/>
    <d v="2024-10-02T00:00:00"/>
    <s v="Story"/>
    <s v="Explore the latest story on Myntra! Trendy styles await."/>
    <n v="4350"/>
    <n v="771"/>
    <n v="7"/>
    <n v="60900"/>
    <n v="60592"/>
    <n v="195"/>
    <s v="EndOfSeasonSale"/>
    <n v="5128"/>
    <x v="2"/>
  </r>
  <r>
    <x v="194"/>
    <s v="Instagram"/>
    <d v="2024-08-15T00:00:00"/>
    <s v="Carousel"/>
    <s v="Explore the latest carousel on Myntra! Trendy styles await."/>
    <n v="914"/>
    <n v="464"/>
    <n v="246"/>
    <n v="11882"/>
    <n v="11500"/>
    <n v="282"/>
    <s v="MyntraFestiveEdit"/>
    <n v="1624"/>
    <x v="1"/>
  </r>
  <r>
    <x v="194"/>
    <s v="Instagram"/>
    <d v="2024-08-15T00:00:00"/>
    <s v="Carousel"/>
    <s v="Explore the latest carousel on Myntra! Trendy styles await."/>
    <n v="914"/>
    <n v="464"/>
    <n v="246"/>
    <n v="11882"/>
    <n v="11500"/>
    <n v="282"/>
    <s v="MyntraFestiveEdit"/>
    <n v="1624"/>
    <x v="3"/>
  </r>
  <r>
    <x v="195"/>
    <s v="Instagram"/>
    <d v="2024-12-19T00:00:00"/>
    <s v="Text"/>
    <s v="Explore the latest text on Myntra! Trendy styles await."/>
    <n v="1813"/>
    <n v="623"/>
    <n v="72"/>
    <n v="19943"/>
    <n v="18959"/>
    <n v="85"/>
    <s v="MyntraFestiveEdit"/>
    <n v="2508"/>
    <x v="3"/>
  </r>
  <r>
    <x v="195"/>
    <s v="Instagram"/>
    <d v="2024-12-19T00:00:00"/>
    <s v="Text"/>
    <s v="Explore the latest text on Myntra! Trendy styles await."/>
    <n v="1813"/>
    <n v="623"/>
    <n v="72"/>
    <n v="19943"/>
    <n v="18959"/>
    <n v="85"/>
    <s v="MyntraFestiveEdit"/>
    <n v="2508"/>
    <x v="1"/>
  </r>
  <r>
    <x v="196"/>
    <s v="Twitter"/>
    <d v="2024-10-22T00:00:00"/>
    <s v="Reel"/>
    <s v="Explore the latest reel on Myntra! Trendy styles await."/>
    <n v="4782"/>
    <n v="721"/>
    <n v="82"/>
    <n v="86076"/>
    <n v="85339"/>
    <n v="19"/>
    <s v="EndOfSeasonSale"/>
    <n v="5585"/>
    <x v="4"/>
  </r>
  <r>
    <x v="197"/>
    <s v="Twitter"/>
    <d v="2024-09-14T00:00:00"/>
    <s v="Image"/>
    <s v="Explore the latest image on Myntra! Trendy styles await."/>
    <n v="1048"/>
    <n v="374"/>
    <n v="450"/>
    <n v="9432"/>
    <n v="8882"/>
    <n v="158"/>
    <s v="EndOfSeasonSale"/>
    <n v="1872"/>
    <x v="3"/>
  </r>
  <r>
    <x v="197"/>
    <s v="Twitter"/>
    <d v="2024-09-14T00:00:00"/>
    <s v="Image"/>
    <s v="Explore the latest image on Myntra! Trendy styles await."/>
    <n v="1048"/>
    <n v="374"/>
    <n v="450"/>
    <n v="9432"/>
    <n v="8882"/>
    <n v="158"/>
    <s v="EndOfSeasonSale"/>
    <n v="1872"/>
    <x v="0"/>
  </r>
  <r>
    <x v="198"/>
    <s v="YouTube"/>
    <d v="2024-11-30T00:00:00"/>
    <s v="Carousel"/>
    <s v="Explore the latest carousel on Myntra! Trendy styles await."/>
    <n v="2509"/>
    <n v="324"/>
    <n v="171"/>
    <n v="35126"/>
    <n v="34685"/>
    <n v="277"/>
    <s v="EndOfSeasonSale"/>
    <n v="3004"/>
    <x v="4"/>
  </r>
  <r>
    <x v="199"/>
    <s v="Facebook"/>
    <d v="2025-04-07T00:00:00"/>
    <s v="Reel"/>
    <s v="Explore the latest reel on Myntra! Trendy styles await."/>
    <n v="3718"/>
    <n v="385"/>
    <n v="310"/>
    <n v="70642"/>
    <n v="69749"/>
    <n v="233"/>
    <s v="FashionUpgrade"/>
    <n v="4413"/>
    <x v="3"/>
  </r>
  <r>
    <x v="200"/>
    <s v="Twitter"/>
    <d v="2025-01-15T00:00:00"/>
    <s v="Reel"/>
    <s v="Explore the latest reel on Myntra! Trendy styles await."/>
    <n v="802"/>
    <n v="262"/>
    <n v="244"/>
    <n v="14436"/>
    <n v="14280"/>
    <n v="49"/>
    <s v="StyleRevolution"/>
    <n v="1308"/>
    <x v="0"/>
  </r>
  <r>
    <x v="200"/>
    <s v="Twitter"/>
    <d v="2025-01-15T00:00:00"/>
    <s v="Reel"/>
    <s v="Explore the latest reel on Myntra! Trendy styles await."/>
    <n v="802"/>
    <n v="262"/>
    <n v="244"/>
    <n v="14436"/>
    <n v="14280"/>
    <n v="49"/>
    <s v="StyleRevolution"/>
    <n v="1308"/>
    <x v="4"/>
  </r>
  <r>
    <x v="201"/>
    <s v="Facebook"/>
    <d v="2024-06-02T00:00:00"/>
    <s v="Image"/>
    <s v="Explore the latest image on Myntra! Trendy styles await."/>
    <n v="1871"/>
    <n v="252"/>
    <n v="335"/>
    <n v="29936"/>
    <n v="29576"/>
    <n v="288"/>
    <s v="EndOfSeasonSale"/>
    <n v="2458"/>
    <x v="3"/>
  </r>
  <r>
    <x v="202"/>
    <s v="Instagram"/>
    <d v="2024-11-21T00:00:00"/>
    <s v="Carousel"/>
    <s v="Explore the latest carousel on Myntra! Trendy styles await."/>
    <n v="3773"/>
    <n v="299"/>
    <n v="38"/>
    <n v="71687"/>
    <n v="71447"/>
    <n v="286"/>
    <s v="StyleRevolution"/>
    <n v="4110"/>
    <x v="3"/>
  </r>
  <r>
    <x v="203"/>
    <s v="Instagram"/>
    <d v="2025-01-01T00:00:00"/>
    <s v="Carousel"/>
    <s v="Explore the latest carousel on Myntra! Trendy styles await."/>
    <n v="2234"/>
    <n v="653"/>
    <n v="432"/>
    <n v="11170"/>
    <n v="10569"/>
    <n v="198"/>
    <s v="StyleRevolution"/>
    <n v="3319"/>
    <x v="4"/>
  </r>
  <r>
    <x v="203"/>
    <s v="Instagram"/>
    <d v="2025-01-01T00:00:00"/>
    <s v="Carousel"/>
    <s v="Explore the latest carousel on Myntra! Trendy styles await."/>
    <n v="2234"/>
    <n v="653"/>
    <n v="432"/>
    <n v="11170"/>
    <n v="10569"/>
    <n v="198"/>
    <s v="StyleRevolution"/>
    <n v="3319"/>
    <x v="2"/>
  </r>
  <r>
    <x v="204"/>
    <s v="Twitter"/>
    <d v="2025-04-24T00:00:00"/>
    <s v="Video"/>
    <s v="Explore the latest video on Myntra! Trendy styles await."/>
    <n v="3820"/>
    <n v="697"/>
    <n v="268"/>
    <n v="45840"/>
    <n v="45631"/>
    <n v="171"/>
    <s v="FashionUpgrade"/>
    <n v="4785"/>
    <x v="2"/>
  </r>
  <r>
    <x v="204"/>
    <s v="Twitter"/>
    <d v="2025-04-24T00:00:00"/>
    <s v="Video"/>
    <s v="Explore the latest video on Myntra! Trendy styles await."/>
    <n v="3820"/>
    <n v="697"/>
    <n v="268"/>
    <n v="45840"/>
    <n v="45631"/>
    <n v="171"/>
    <s v="FashionUpgrade"/>
    <n v="4785"/>
    <x v="4"/>
  </r>
  <r>
    <x v="205"/>
    <s v="Twitter"/>
    <d v="2024-06-24T00:00:00"/>
    <s v="Text"/>
    <s v="Explore the latest text on Myntra! Trendy styles await."/>
    <n v="941"/>
    <n v="121"/>
    <n v="458"/>
    <n v="14115"/>
    <n v="13838"/>
    <n v="87"/>
    <s v="EndOfSeasonSale"/>
    <n v="1520"/>
    <x v="1"/>
  </r>
  <r>
    <x v="205"/>
    <s v="Twitter"/>
    <d v="2024-06-24T00:00:00"/>
    <s v="Text"/>
    <s v="Explore the latest text on Myntra! Trendy styles await."/>
    <n v="941"/>
    <n v="121"/>
    <n v="458"/>
    <n v="14115"/>
    <n v="13838"/>
    <n v="87"/>
    <s v="EndOfSeasonSale"/>
    <n v="1520"/>
    <x v="0"/>
  </r>
  <r>
    <x v="206"/>
    <s v="Twitter"/>
    <d v="2024-12-29T00:00:00"/>
    <s v="Carousel"/>
    <s v="Explore the latest carousel on Myntra! Trendy styles await."/>
    <n v="4274"/>
    <n v="340"/>
    <n v="281"/>
    <n v="34192"/>
    <n v="33446"/>
    <n v="129"/>
    <s v="MyntraFestiveEdit"/>
    <n v="4895"/>
    <x v="2"/>
  </r>
  <r>
    <x v="206"/>
    <s v="Twitter"/>
    <d v="2024-12-29T00:00:00"/>
    <s v="Carousel"/>
    <s v="Explore the latest carousel on Myntra! Trendy styles await."/>
    <n v="4274"/>
    <n v="340"/>
    <n v="281"/>
    <n v="34192"/>
    <n v="33446"/>
    <n v="129"/>
    <s v="MyntraFestiveEdit"/>
    <n v="4895"/>
    <x v="4"/>
  </r>
  <r>
    <x v="207"/>
    <s v="YouTube"/>
    <d v="2024-06-24T00:00:00"/>
    <s v="Video"/>
    <s v="Explore the latest video on Myntra! Trendy styles await."/>
    <n v="2949"/>
    <n v="476"/>
    <n v="403"/>
    <n v="44235"/>
    <n v="43705"/>
    <n v="135"/>
    <s v="FashionUpgrade"/>
    <n v="3828"/>
    <x v="3"/>
  </r>
  <r>
    <x v="207"/>
    <s v="YouTube"/>
    <d v="2024-06-24T00:00:00"/>
    <s v="Video"/>
    <s v="Explore the latest video on Myntra! Trendy styles await."/>
    <n v="2949"/>
    <n v="476"/>
    <n v="403"/>
    <n v="44235"/>
    <n v="43705"/>
    <n v="135"/>
    <s v="FashionUpgrade"/>
    <n v="3828"/>
    <x v="4"/>
  </r>
  <r>
    <x v="208"/>
    <s v="Twitter"/>
    <d v="2025-03-19T00:00:00"/>
    <s v="Video"/>
    <s v="Explore the latest video on Myntra! Trendy styles await."/>
    <n v="3160"/>
    <n v="204"/>
    <n v="297"/>
    <n v="44240"/>
    <n v="43666"/>
    <n v="49"/>
    <s v="FashionUpgrade"/>
    <n v="3661"/>
    <x v="2"/>
  </r>
  <r>
    <x v="208"/>
    <s v="Twitter"/>
    <d v="2025-03-19T00:00:00"/>
    <s v="Video"/>
    <s v="Explore the latest video on Myntra! Trendy styles await."/>
    <n v="3160"/>
    <n v="204"/>
    <n v="297"/>
    <n v="44240"/>
    <n v="43666"/>
    <n v="49"/>
    <s v="FashionUpgrade"/>
    <n v="3661"/>
    <x v="3"/>
  </r>
  <r>
    <x v="209"/>
    <s v="YouTube"/>
    <d v="2025-02-19T00:00:00"/>
    <s v="Image"/>
    <s v="Explore the latest image on Myntra! Trendy styles await."/>
    <n v="257"/>
    <n v="966"/>
    <n v="398"/>
    <n v="3341"/>
    <n v="2753"/>
    <n v="287"/>
    <s v="FashionUpgrade"/>
    <n v="1621"/>
    <x v="3"/>
  </r>
  <r>
    <x v="209"/>
    <s v="YouTube"/>
    <d v="2025-02-19T00:00:00"/>
    <s v="Image"/>
    <s v="Explore the latest image on Myntra! Trendy styles await."/>
    <n v="257"/>
    <n v="966"/>
    <n v="398"/>
    <n v="3341"/>
    <n v="2753"/>
    <n v="287"/>
    <s v="FashionUpgrade"/>
    <n v="1621"/>
    <x v="0"/>
  </r>
  <r>
    <x v="210"/>
    <s v="Twitter"/>
    <d v="2024-07-18T00:00:00"/>
    <s v="Carousel"/>
    <s v="Explore the latest carousel on Myntra! Trendy styles await."/>
    <n v="2120"/>
    <n v="38"/>
    <n v="212"/>
    <n v="12720"/>
    <n v="12564"/>
    <n v="21"/>
    <s v="FashionUpgrade"/>
    <n v="2370"/>
    <x v="3"/>
  </r>
  <r>
    <x v="210"/>
    <s v="Twitter"/>
    <d v="2024-07-18T00:00:00"/>
    <s v="Carousel"/>
    <s v="Explore the latest carousel on Myntra! Trendy styles await."/>
    <n v="2120"/>
    <n v="38"/>
    <n v="212"/>
    <n v="12720"/>
    <n v="12564"/>
    <n v="21"/>
    <s v="FashionUpgrade"/>
    <n v="2370"/>
    <x v="0"/>
  </r>
  <r>
    <x v="211"/>
    <s v="YouTube"/>
    <d v="2025-03-03T00:00:00"/>
    <s v="Video"/>
    <s v="Explore the latest video on Myntra! Trendy styles await."/>
    <n v="3874"/>
    <n v="884"/>
    <n v="19"/>
    <n v="38740"/>
    <n v="38552"/>
    <n v="219"/>
    <s v="StyleRevolution"/>
    <n v="4777"/>
    <x v="2"/>
  </r>
  <r>
    <x v="212"/>
    <s v="Facebook"/>
    <d v="2025-05-01T00:00:00"/>
    <s v="Carousel"/>
    <s v="Explore the latest carousel on Myntra! Trendy styles await."/>
    <n v="2696"/>
    <n v="628"/>
    <n v="443"/>
    <n v="45832"/>
    <n v="45632"/>
    <n v="248"/>
    <s v="MyntraFestiveEdit"/>
    <n v="3767"/>
    <x v="0"/>
  </r>
  <r>
    <x v="213"/>
    <s v="Instagram"/>
    <d v="2024-12-23T00:00:00"/>
    <s v="Image"/>
    <s v="Explore the latest image on Myntra! Trendy styles await."/>
    <n v="521"/>
    <n v="746"/>
    <n v="315"/>
    <n v="4168"/>
    <n v="3399"/>
    <n v="282"/>
    <s v="FashionUpgrade"/>
    <n v="1582"/>
    <x v="0"/>
  </r>
  <r>
    <x v="214"/>
    <s v="Facebook"/>
    <d v="2025-05-06T00:00:00"/>
    <s v="Image"/>
    <s v="Explore the latest image on Myntra! Trendy styles await."/>
    <n v="4872"/>
    <n v="925"/>
    <n v="176"/>
    <n v="82824"/>
    <n v="82543"/>
    <n v="89"/>
    <s v="FashionUpgrade"/>
    <n v="5973"/>
    <x v="0"/>
  </r>
  <r>
    <x v="214"/>
    <s v="Facebook"/>
    <d v="2025-05-06T00:00:00"/>
    <s v="Image"/>
    <s v="Explore the latest image on Myntra! Trendy styles await."/>
    <n v="4872"/>
    <n v="925"/>
    <n v="176"/>
    <n v="82824"/>
    <n v="82543"/>
    <n v="89"/>
    <s v="FashionUpgrade"/>
    <n v="5973"/>
    <x v="3"/>
  </r>
  <r>
    <x v="215"/>
    <s v="YouTube"/>
    <d v="2024-07-29T00:00:00"/>
    <s v="Story"/>
    <s v="Explore the latest story on Myntra! Trendy styles await."/>
    <n v="1509"/>
    <n v="88"/>
    <n v="163"/>
    <n v="30180"/>
    <n v="29689"/>
    <n v="119"/>
    <s v="FashionUpgrade"/>
    <n v="1760"/>
    <x v="3"/>
  </r>
  <r>
    <x v="216"/>
    <s v="Facebook"/>
    <d v="2024-12-03T00:00:00"/>
    <s v="Image"/>
    <s v="Explore the latest image on Myntra! Trendy styles await."/>
    <n v="4606"/>
    <n v="931"/>
    <n v="230"/>
    <n v="92120"/>
    <n v="91440"/>
    <n v="56"/>
    <s v="MyntraFestiveEdit"/>
    <n v="5767"/>
    <x v="4"/>
  </r>
  <r>
    <x v="216"/>
    <s v="Facebook"/>
    <d v="2024-12-03T00:00:00"/>
    <s v="Image"/>
    <s v="Explore the latest image on Myntra! Trendy styles await."/>
    <n v="4606"/>
    <n v="931"/>
    <n v="230"/>
    <n v="92120"/>
    <n v="91440"/>
    <n v="56"/>
    <s v="MyntraFestiveEdit"/>
    <n v="5767"/>
    <x v="1"/>
  </r>
  <r>
    <x v="217"/>
    <s v="Facebook"/>
    <d v="2024-06-11T00:00:00"/>
    <s v="Carousel"/>
    <s v="Explore the latest carousel on Myntra! Trendy styles await."/>
    <n v="1869"/>
    <n v="453"/>
    <n v="490"/>
    <n v="14952"/>
    <n v="14309"/>
    <n v="275"/>
    <s v="FashionUpgrade"/>
    <n v="2812"/>
    <x v="4"/>
  </r>
  <r>
    <x v="217"/>
    <s v="Facebook"/>
    <d v="2024-06-11T00:00:00"/>
    <s v="Carousel"/>
    <s v="Explore the latest carousel on Myntra! Trendy styles await."/>
    <n v="1869"/>
    <n v="453"/>
    <n v="490"/>
    <n v="14952"/>
    <n v="14309"/>
    <n v="275"/>
    <s v="FashionUpgrade"/>
    <n v="2812"/>
    <x v="2"/>
  </r>
  <r>
    <x v="218"/>
    <s v="Twitter"/>
    <d v="2025-01-28T00:00:00"/>
    <s v="Reel"/>
    <s v="Explore the latest reel on Myntra! Trendy styles await."/>
    <n v="1188"/>
    <n v="470"/>
    <n v="174"/>
    <n v="7128"/>
    <n v="6145"/>
    <n v="270"/>
    <s v="EndOfSeasonSale"/>
    <n v="1832"/>
    <x v="2"/>
  </r>
  <r>
    <x v="218"/>
    <s v="Twitter"/>
    <d v="2025-01-28T00:00:00"/>
    <s v="Reel"/>
    <s v="Explore the latest reel on Myntra! Trendy styles await."/>
    <n v="1188"/>
    <n v="470"/>
    <n v="174"/>
    <n v="7128"/>
    <n v="6145"/>
    <n v="270"/>
    <s v="EndOfSeasonSale"/>
    <n v="1832"/>
    <x v="1"/>
  </r>
  <r>
    <x v="219"/>
    <s v="Instagram"/>
    <d v="2024-06-02T00:00:00"/>
    <s v="Story"/>
    <s v="Explore the latest story on Myntra! Trendy styles await."/>
    <n v="84"/>
    <n v="897"/>
    <n v="85"/>
    <n v="588"/>
    <n v="8"/>
    <n v="12"/>
    <s v="EndOfSeasonSale"/>
    <n v="1066"/>
    <x v="2"/>
  </r>
  <r>
    <x v="220"/>
    <s v="Facebook"/>
    <d v="2025-03-23T00:00:00"/>
    <s v="Video"/>
    <s v="Explore the latest video on Myntra! Trendy styles await."/>
    <n v="4453"/>
    <n v="111"/>
    <n v="420"/>
    <n v="31171"/>
    <n v="30565"/>
    <n v="23"/>
    <s v="StyleRevolution"/>
    <n v="4984"/>
    <x v="3"/>
  </r>
  <r>
    <x v="220"/>
    <s v="Facebook"/>
    <d v="2025-03-23T00:00:00"/>
    <s v="Video"/>
    <s v="Explore the latest video on Myntra! Trendy styles await."/>
    <n v="4453"/>
    <n v="111"/>
    <n v="420"/>
    <n v="31171"/>
    <n v="30565"/>
    <n v="23"/>
    <s v="StyleRevolution"/>
    <n v="4984"/>
    <x v="1"/>
  </r>
  <r>
    <x v="221"/>
    <s v="Facebook"/>
    <d v="2024-10-08T00:00:00"/>
    <s v="Reel"/>
    <s v="Explore the latest reel on Myntra! Trendy styles await."/>
    <n v="1814"/>
    <n v="653"/>
    <n v="363"/>
    <n v="25396"/>
    <n v="25286"/>
    <n v="39"/>
    <s v="FashionUpgrade"/>
    <n v="2830"/>
    <x v="2"/>
  </r>
  <r>
    <x v="222"/>
    <s v="Twitter"/>
    <d v="2024-11-12T00:00:00"/>
    <s v="Image"/>
    <s v="Explore the latest image on Myntra! Trendy styles await."/>
    <n v="3338"/>
    <n v="277"/>
    <n v="118"/>
    <n v="60084"/>
    <n v="59842"/>
    <n v="252"/>
    <s v="FashionUpgrade"/>
    <n v="3733"/>
    <x v="2"/>
  </r>
  <r>
    <x v="223"/>
    <s v="Facebook"/>
    <d v="2025-05-13T00:00:00"/>
    <s v="Image"/>
    <s v="Explore the latest image on Myntra! Trendy styles await."/>
    <n v="602"/>
    <n v="594"/>
    <n v="156"/>
    <n v="4214"/>
    <n v="3363"/>
    <n v="164"/>
    <s v="MyntraFestiveEdit"/>
    <n v="1352"/>
    <x v="0"/>
  </r>
  <r>
    <x v="224"/>
    <s v="Twitter"/>
    <d v="2024-06-20T00:00:00"/>
    <s v="Carousel"/>
    <s v="Explore the latest carousel on Myntra! Trendy styles await."/>
    <n v="4672"/>
    <n v="325"/>
    <n v="32"/>
    <n v="88768"/>
    <n v="87833"/>
    <n v="118"/>
    <s v="MyntraFestiveEdit"/>
    <n v="5029"/>
    <x v="4"/>
  </r>
  <r>
    <x v="224"/>
    <s v="Twitter"/>
    <d v="2024-06-20T00:00:00"/>
    <s v="Carousel"/>
    <s v="Explore the latest carousel on Myntra! Trendy styles await."/>
    <n v="4672"/>
    <n v="325"/>
    <n v="32"/>
    <n v="88768"/>
    <n v="87833"/>
    <n v="118"/>
    <s v="MyntraFestiveEdit"/>
    <n v="5029"/>
    <x v="0"/>
  </r>
  <r>
    <x v="225"/>
    <s v="Instagram"/>
    <d v="2024-08-07T00:00:00"/>
    <s v="Carousel"/>
    <s v="Explore the latest carousel on Myntra! Trendy styles await."/>
    <n v="1741"/>
    <n v="164"/>
    <n v="318"/>
    <n v="8705"/>
    <n v="8272"/>
    <n v="121"/>
    <s v="EndOfSeasonSale"/>
    <n v="2223"/>
    <x v="0"/>
  </r>
  <r>
    <x v="226"/>
    <s v="Instagram"/>
    <d v="2024-06-12T00:00:00"/>
    <s v="Text"/>
    <s v="Explore the latest text on Myntra! Trendy styles await."/>
    <n v="246"/>
    <n v="149"/>
    <n v="130"/>
    <n v="4674"/>
    <n v="4390"/>
    <n v="217"/>
    <s v="EndOfSeasonSale"/>
    <n v="525"/>
    <x v="3"/>
  </r>
  <r>
    <x v="226"/>
    <s v="Instagram"/>
    <d v="2024-06-12T00:00:00"/>
    <s v="Text"/>
    <s v="Explore the latest text on Myntra! Trendy styles await."/>
    <n v="246"/>
    <n v="149"/>
    <n v="130"/>
    <n v="4674"/>
    <n v="4390"/>
    <n v="217"/>
    <s v="EndOfSeasonSale"/>
    <n v="525"/>
    <x v="4"/>
  </r>
  <r>
    <x v="227"/>
    <s v="Instagram"/>
    <d v="2024-07-01T00:00:00"/>
    <s v="Story"/>
    <s v="Explore the latest story on Myntra! Trendy styles await."/>
    <n v="4808"/>
    <n v="772"/>
    <n v="320"/>
    <n v="72120"/>
    <n v="71696"/>
    <n v="195"/>
    <s v="StyleRevolution"/>
    <n v="5900"/>
    <x v="3"/>
  </r>
  <r>
    <x v="227"/>
    <s v="Instagram"/>
    <d v="2024-07-01T00:00:00"/>
    <s v="Story"/>
    <s v="Explore the latest story on Myntra! Trendy styles await."/>
    <n v="4808"/>
    <n v="772"/>
    <n v="320"/>
    <n v="72120"/>
    <n v="71696"/>
    <n v="195"/>
    <s v="StyleRevolution"/>
    <n v="5900"/>
    <x v="0"/>
  </r>
  <r>
    <x v="228"/>
    <s v="Instagram"/>
    <d v="2024-07-03T00:00:00"/>
    <s v="Carousel"/>
    <s v="Explore the latest carousel on Myntra! Trendy styles await."/>
    <n v="4799"/>
    <n v="694"/>
    <n v="289"/>
    <n v="43191"/>
    <n v="42228"/>
    <n v="118"/>
    <s v="EndOfSeasonSale"/>
    <n v="5782"/>
    <x v="3"/>
  </r>
  <r>
    <x v="229"/>
    <s v="Facebook"/>
    <d v="2024-07-15T00:00:00"/>
    <s v="Reel"/>
    <s v="Explore the latest reel on Myntra! Trendy styles await."/>
    <n v="3663"/>
    <n v="17"/>
    <n v="295"/>
    <n v="51282"/>
    <n v="50567"/>
    <n v="84"/>
    <s v="FashionUpgrade"/>
    <n v="3975"/>
    <x v="0"/>
  </r>
  <r>
    <x v="230"/>
    <s v="Instagram"/>
    <d v="2025-05-01T00:00:00"/>
    <s v="Text"/>
    <s v="Explore the latest text on Myntra! Trendy styles await."/>
    <n v="1430"/>
    <n v="376"/>
    <n v="33"/>
    <n v="21450"/>
    <n v="20509"/>
    <n v="251"/>
    <s v="MyntraFestiveEdit"/>
    <n v="1839"/>
    <x v="4"/>
  </r>
  <r>
    <x v="231"/>
    <s v="Twitter"/>
    <d v="2025-04-29T00:00:00"/>
    <s v="Story"/>
    <s v="Explore the latest story on Myntra! Trendy styles await."/>
    <n v="249"/>
    <n v="592"/>
    <n v="230"/>
    <n v="1494"/>
    <n v="1044"/>
    <n v="201"/>
    <s v="StyleRevolution"/>
    <n v="1071"/>
    <x v="1"/>
  </r>
  <r>
    <x v="231"/>
    <s v="Twitter"/>
    <d v="2025-04-29T00:00:00"/>
    <s v="Story"/>
    <s v="Explore the latest story on Myntra! Trendy styles await."/>
    <n v="249"/>
    <n v="592"/>
    <n v="230"/>
    <n v="1494"/>
    <n v="1044"/>
    <n v="201"/>
    <s v="StyleRevolution"/>
    <n v="1071"/>
    <x v="3"/>
  </r>
  <r>
    <x v="232"/>
    <s v="Facebook"/>
    <d v="2025-03-08T00:00:00"/>
    <s v="Image"/>
    <s v="Explore the latest image on Myntra! Trendy styles await."/>
    <n v="2382"/>
    <n v="265"/>
    <n v="134"/>
    <n v="38112"/>
    <n v="37437"/>
    <n v="249"/>
    <s v="EndOfSeasonSale"/>
    <n v="2781"/>
    <x v="4"/>
  </r>
  <r>
    <x v="232"/>
    <s v="Facebook"/>
    <d v="2025-03-08T00:00:00"/>
    <s v="Image"/>
    <s v="Explore the latest image on Myntra! Trendy styles await."/>
    <n v="2382"/>
    <n v="265"/>
    <n v="134"/>
    <n v="38112"/>
    <n v="37437"/>
    <n v="249"/>
    <s v="EndOfSeasonSale"/>
    <n v="2781"/>
    <x v="3"/>
  </r>
  <r>
    <x v="233"/>
    <s v="Facebook"/>
    <d v="2024-06-01T00:00:00"/>
    <s v="Text"/>
    <s v="Explore the latest text on Myntra! Trendy styles await."/>
    <n v="1272"/>
    <n v="465"/>
    <n v="99"/>
    <n v="24168"/>
    <n v="23719"/>
    <n v="42"/>
    <s v="EndOfSeasonSale"/>
    <n v="1836"/>
    <x v="1"/>
  </r>
  <r>
    <x v="233"/>
    <s v="Facebook"/>
    <d v="2024-06-01T00:00:00"/>
    <s v="Text"/>
    <s v="Explore the latest text on Myntra! Trendy styles await."/>
    <n v="1272"/>
    <n v="465"/>
    <n v="99"/>
    <n v="24168"/>
    <n v="23719"/>
    <n v="42"/>
    <s v="EndOfSeasonSale"/>
    <n v="1836"/>
    <x v="4"/>
  </r>
  <r>
    <x v="234"/>
    <s v="Facebook"/>
    <d v="2024-12-22T00:00:00"/>
    <s v="Image"/>
    <s v="Explore the latest image on Myntra! Trendy styles await."/>
    <n v="3196"/>
    <n v="941"/>
    <n v="376"/>
    <n v="35156"/>
    <n v="34444"/>
    <n v="241"/>
    <s v="StyleRevolution"/>
    <n v="4513"/>
    <x v="2"/>
  </r>
  <r>
    <x v="234"/>
    <s v="Facebook"/>
    <d v="2024-12-22T00:00:00"/>
    <s v="Image"/>
    <s v="Explore the latest image on Myntra! Trendy styles await."/>
    <n v="3196"/>
    <n v="941"/>
    <n v="376"/>
    <n v="35156"/>
    <n v="34444"/>
    <n v="241"/>
    <s v="StyleRevolution"/>
    <n v="4513"/>
    <x v="3"/>
  </r>
  <r>
    <x v="235"/>
    <s v="Facebook"/>
    <d v="2024-08-19T00:00:00"/>
    <s v="Text"/>
    <s v="Explore the latest text on Myntra! Trendy styles await."/>
    <n v="1257"/>
    <n v="19"/>
    <n v="351"/>
    <n v="12570"/>
    <n v="11660"/>
    <n v="194"/>
    <s v="FashionUpgrade"/>
    <n v="1627"/>
    <x v="2"/>
  </r>
  <r>
    <x v="236"/>
    <s v="Instagram"/>
    <d v="2024-10-22T00:00:00"/>
    <s v="Story"/>
    <s v="Explore the latest story on Myntra! Trendy styles await."/>
    <n v="3770"/>
    <n v="917"/>
    <n v="129"/>
    <n v="71630"/>
    <n v="71322"/>
    <n v="76"/>
    <s v="StyleRevolution"/>
    <n v="4816"/>
    <x v="0"/>
  </r>
  <r>
    <x v="236"/>
    <s v="Instagram"/>
    <d v="2024-10-22T00:00:00"/>
    <s v="Story"/>
    <s v="Explore the latest story on Myntra! Trendy styles await."/>
    <n v="3770"/>
    <n v="917"/>
    <n v="129"/>
    <n v="71630"/>
    <n v="71322"/>
    <n v="76"/>
    <s v="StyleRevolution"/>
    <n v="4816"/>
    <x v="3"/>
  </r>
  <r>
    <x v="237"/>
    <s v="Twitter"/>
    <d v="2024-07-16T00:00:00"/>
    <s v="Text"/>
    <s v="Explore the latest text on Myntra! Trendy styles await."/>
    <n v="4725"/>
    <n v="400"/>
    <n v="362"/>
    <n v="75600"/>
    <n v="74927"/>
    <n v="43"/>
    <s v="FashionUpgrade"/>
    <n v="5487"/>
    <x v="3"/>
  </r>
  <r>
    <x v="237"/>
    <s v="Twitter"/>
    <d v="2024-07-16T00:00:00"/>
    <s v="Text"/>
    <s v="Explore the latest text on Myntra! Trendy styles await."/>
    <n v="4725"/>
    <n v="400"/>
    <n v="362"/>
    <n v="75600"/>
    <n v="74927"/>
    <n v="43"/>
    <s v="FashionUpgrade"/>
    <n v="5487"/>
    <x v="1"/>
  </r>
  <r>
    <x v="238"/>
    <s v="YouTube"/>
    <d v="2025-02-24T00:00:00"/>
    <s v="Text"/>
    <s v="Explore the latest text on Myntra! Trendy styles await."/>
    <n v="4188"/>
    <n v="942"/>
    <n v="118"/>
    <n v="20940"/>
    <n v="20471"/>
    <n v="102"/>
    <s v="EndOfSeasonSale"/>
    <n v="5248"/>
    <x v="2"/>
  </r>
  <r>
    <x v="239"/>
    <s v="Twitter"/>
    <d v="2024-08-26T00:00:00"/>
    <s v="Carousel"/>
    <s v="Explore the latest carousel on Myntra! Trendy styles await."/>
    <n v="929"/>
    <n v="192"/>
    <n v="322"/>
    <n v="16722"/>
    <n v="15996"/>
    <n v="145"/>
    <s v="MyntraFestiveEdit"/>
    <n v="1443"/>
    <x v="1"/>
  </r>
  <r>
    <x v="240"/>
    <s v="Facebook"/>
    <d v="2025-01-18T00:00:00"/>
    <s v="Story"/>
    <s v="Explore the latest story on Myntra! Trendy styles await."/>
    <n v="4321"/>
    <n v="874"/>
    <n v="172"/>
    <n v="30247"/>
    <n v="29254"/>
    <n v="122"/>
    <s v="MyntraFestiveEdit"/>
    <n v="5367"/>
    <x v="0"/>
  </r>
  <r>
    <x v="240"/>
    <s v="Facebook"/>
    <d v="2025-01-18T00:00:00"/>
    <s v="Story"/>
    <s v="Explore the latest story on Myntra! Trendy styles await."/>
    <n v="4321"/>
    <n v="874"/>
    <n v="172"/>
    <n v="30247"/>
    <n v="29254"/>
    <n v="122"/>
    <s v="MyntraFestiveEdit"/>
    <n v="5367"/>
    <x v="1"/>
  </r>
  <r>
    <x v="241"/>
    <s v="Facebook"/>
    <d v="2024-07-07T00:00:00"/>
    <s v="Reel"/>
    <s v="Explore the latest reel on Myntra! Trendy styles await."/>
    <n v="4767"/>
    <n v="190"/>
    <n v="340"/>
    <n v="28602"/>
    <n v="28044"/>
    <n v="210"/>
    <s v="StyleRevolution"/>
    <n v="5297"/>
    <x v="4"/>
  </r>
  <r>
    <x v="242"/>
    <s v="Twitter"/>
    <d v="2025-03-06T00:00:00"/>
    <s v="Image"/>
    <s v="Explore the latest image on Myntra! Trendy styles await."/>
    <n v="3592"/>
    <n v="911"/>
    <n v="375"/>
    <n v="50288"/>
    <n v="49490"/>
    <n v="32"/>
    <s v="EndOfSeasonSale"/>
    <n v="4878"/>
    <x v="2"/>
  </r>
  <r>
    <x v="243"/>
    <s v="YouTube"/>
    <d v="2024-10-25T00:00:00"/>
    <s v="Video"/>
    <s v="Explore the latest video on Myntra! Trendy styles await."/>
    <n v="4661"/>
    <n v="935"/>
    <n v="433"/>
    <n v="23305"/>
    <n v="22583"/>
    <n v="63"/>
    <s v="FashionUpgrade"/>
    <n v="6029"/>
    <x v="2"/>
  </r>
  <r>
    <x v="243"/>
    <s v="YouTube"/>
    <d v="2024-10-25T00:00:00"/>
    <s v="Video"/>
    <s v="Explore the latest video on Myntra! Trendy styles await."/>
    <n v="4661"/>
    <n v="935"/>
    <n v="433"/>
    <n v="23305"/>
    <n v="22583"/>
    <n v="63"/>
    <s v="FashionUpgrade"/>
    <n v="6029"/>
    <x v="4"/>
  </r>
  <r>
    <x v="244"/>
    <s v="Facebook"/>
    <d v="2025-01-12T00:00:00"/>
    <s v="Reel"/>
    <s v="Explore the latest reel on Myntra! Trendy styles await."/>
    <n v="4134"/>
    <n v="824"/>
    <n v="99"/>
    <n v="41340"/>
    <n v="41050"/>
    <n v="177"/>
    <s v="EndOfSeasonSale"/>
    <n v="5057"/>
    <x v="1"/>
  </r>
  <r>
    <x v="245"/>
    <s v="Facebook"/>
    <d v="2024-10-11T00:00:00"/>
    <s v="Image"/>
    <s v="Explore the latest image on Myntra! Trendy styles await."/>
    <n v="400"/>
    <n v="680"/>
    <n v="434"/>
    <n v="6400"/>
    <n v="5472"/>
    <n v="160"/>
    <s v="EndOfSeasonSale"/>
    <n v="1514"/>
    <x v="0"/>
  </r>
  <r>
    <x v="245"/>
    <s v="Facebook"/>
    <d v="2024-10-11T00:00:00"/>
    <s v="Image"/>
    <s v="Explore the latest image on Myntra! Trendy styles await."/>
    <n v="400"/>
    <n v="680"/>
    <n v="434"/>
    <n v="6400"/>
    <n v="5472"/>
    <n v="160"/>
    <s v="EndOfSeasonSale"/>
    <n v="1514"/>
    <x v="3"/>
  </r>
  <r>
    <x v="246"/>
    <s v="Facebook"/>
    <d v="2024-08-27T00:00:00"/>
    <s v="Reel"/>
    <s v="Explore the latest reel on Myntra! Trendy styles await."/>
    <n v="3960"/>
    <n v="266"/>
    <n v="8"/>
    <n v="35640"/>
    <n v="34850"/>
    <n v="208"/>
    <s v="StyleRevolution"/>
    <n v="4234"/>
    <x v="3"/>
  </r>
  <r>
    <x v="246"/>
    <s v="Facebook"/>
    <d v="2024-08-27T00:00:00"/>
    <s v="Reel"/>
    <s v="Explore the latest reel on Myntra! Trendy styles await."/>
    <n v="3960"/>
    <n v="266"/>
    <n v="8"/>
    <n v="35640"/>
    <n v="34850"/>
    <n v="208"/>
    <s v="StyleRevolution"/>
    <n v="4234"/>
    <x v="1"/>
  </r>
  <r>
    <x v="247"/>
    <s v="Facebook"/>
    <d v="2025-02-02T00:00:00"/>
    <s v="Story"/>
    <s v="Explore the latest story on Myntra! Trendy styles await."/>
    <n v="886"/>
    <n v="126"/>
    <n v="153"/>
    <n v="4430"/>
    <n v="4037"/>
    <n v="212"/>
    <s v="MyntraFestiveEdit"/>
    <n v="1165"/>
    <x v="0"/>
  </r>
  <r>
    <x v="248"/>
    <s v="Twitter"/>
    <d v="2024-07-18T00:00:00"/>
    <s v="Image"/>
    <s v="Explore the latest image on Myntra! Trendy styles await."/>
    <n v="827"/>
    <n v="77"/>
    <n v="402"/>
    <n v="14886"/>
    <n v="14129"/>
    <n v="254"/>
    <s v="EndOfSeasonSale"/>
    <n v="1306"/>
    <x v="2"/>
  </r>
  <r>
    <x v="249"/>
    <s v="Facebook"/>
    <d v="2024-06-22T00:00:00"/>
    <s v="Reel"/>
    <s v="Explore the latest reel on Myntra! Trendy styles await."/>
    <n v="3813"/>
    <n v="935"/>
    <n v="274"/>
    <n v="68634"/>
    <n v="68488"/>
    <n v="251"/>
    <s v="FashionUpgrade"/>
    <n v="5022"/>
    <x v="4"/>
  </r>
  <r>
    <x v="249"/>
    <s v="Facebook"/>
    <d v="2024-06-22T00:00:00"/>
    <s v="Reel"/>
    <s v="Explore the latest reel on Myntra! Trendy styles await."/>
    <n v="3813"/>
    <n v="935"/>
    <n v="274"/>
    <n v="68634"/>
    <n v="68488"/>
    <n v="251"/>
    <s v="FashionUpgrade"/>
    <n v="5022"/>
    <x v="3"/>
  </r>
  <r>
    <x v="250"/>
    <s v="Instagram"/>
    <d v="2025-03-27T00:00:00"/>
    <s v="Carousel"/>
    <s v="Explore the latest carousel on Myntra! Trendy styles await."/>
    <n v="1377"/>
    <n v="796"/>
    <n v="387"/>
    <n v="22032"/>
    <n v="21869"/>
    <n v="189"/>
    <s v="MyntraFestiveEdit"/>
    <n v="2560"/>
    <x v="4"/>
  </r>
  <r>
    <x v="250"/>
    <s v="Instagram"/>
    <d v="2025-03-27T00:00:00"/>
    <s v="Carousel"/>
    <s v="Explore the latest carousel on Myntra! Trendy styles await."/>
    <n v="1377"/>
    <n v="796"/>
    <n v="387"/>
    <n v="22032"/>
    <n v="21869"/>
    <n v="189"/>
    <s v="MyntraFestiveEdit"/>
    <n v="2560"/>
    <x v="1"/>
  </r>
  <r>
    <x v="251"/>
    <s v="Facebook"/>
    <d v="2025-04-28T00:00:00"/>
    <s v="Carousel"/>
    <s v="Explore the latest carousel on Myntra! Trendy styles await."/>
    <n v="2089"/>
    <n v="476"/>
    <n v="69"/>
    <n v="16712"/>
    <n v="16309"/>
    <n v="64"/>
    <s v="FashionUpgrade"/>
    <n v="2634"/>
    <x v="2"/>
  </r>
  <r>
    <x v="251"/>
    <s v="Facebook"/>
    <d v="2025-04-28T00:00:00"/>
    <s v="Carousel"/>
    <s v="Explore the latest carousel on Myntra! Trendy styles await."/>
    <n v="2089"/>
    <n v="476"/>
    <n v="69"/>
    <n v="16712"/>
    <n v="16309"/>
    <n v="64"/>
    <s v="FashionUpgrade"/>
    <n v="2634"/>
    <x v="0"/>
  </r>
  <r>
    <x v="252"/>
    <s v="Twitter"/>
    <d v="2024-08-03T00:00:00"/>
    <s v="Reel"/>
    <s v="Explore the latest reel on Myntra! Trendy styles await."/>
    <n v="3791"/>
    <n v="593"/>
    <n v="228"/>
    <n v="53074"/>
    <n v="52613"/>
    <n v="205"/>
    <s v="FashionUpgrade"/>
    <n v="4612"/>
    <x v="2"/>
  </r>
  <r>
    <x v="252"/>
    <s v="Twitter"/>
    <d v="2024-08-03T00:00:00"/>
    <s v="Reel"/>
    <s v="Explore the latest reel on Myntra! Trendy styles await."/>
    <n v="3791"/>
    <n v="593"/>
    <n v="228"/>
    <n v="53074"/>
    <n v="52613"/>
    <n v="205"/>
    <s v="FashionUpgrade"/>
    <n v="4612"/>
    <x v="4"/>
  </r>
  <r>
    <x v="253"/>
    <s v="Twitter"/>
    <d v="2025-01-14T00:00:00"/>
    <s v="Image"/>
    <s v="Explore the latest image on Myntra! Trendy styles await."/>
    <n v="2692"/>
    <n v="115"/>
    <n v="64"/>
    <n v="21536"/>
    <n v="21120"/>
    <n v="224"/>
    <s v="StyleRevolution"/>
    <n v="2871"/>
    <x v="4"/>
  </r>
  <r>
    <x v="253"/>
    <s v="Twitter"/>
    <d v="2025-01-14T00:00:00"/>
    <s v="Image"/>
    <s v="Explore the latest image on Myntra! Trendy styles await."/>
    <n v="2692"/>
    <n v="115"/>
    <n v="64"/>
    <n v="21536"/>
    <n v="21120"/>
    <n v="224"/>
    <s v="StyleRevolution"/>
    <n v="2871"/>
    <x v="3"/>
  </r>
  <r>
    <x v="254"/>
    <s v="Facebook"/>
    <d v="2025-04-03T00:00:00"/>
    <s v="Story"/>
    <s v="Explore the latest story on Myntra! Trendy styles await."/>
    <n v="3767"/>
    <n v="514"/>
    <n v="238"/>
    <n v="37670"/>
    <n v="36807"/>
    <n v="226"/>
    <s v="FashionUpgrade"/>
    <n v="4519"/>
    <x v="2"/>
  </r>
  <r>
    <x v="254"/>
    <s v="Facebook"/>
    <d v="2025-04-03T00:00:00"/>
    <s v="Story"/>
    <s v="Explore the latest story on Myntra! Trendy styles await."/>
    <n v="3767"/>
    <n v="514"/>
    <n v="238"/>
    <n v="37670"/>
    <n v="36807"/>
    <n v="226"/>
    <s v="FashionUpgrade"/>
    <n v="4519"/>
    <x v="4"/>
  </r>
  <r>
    <x v="255"/>
    <s v="YouTube"/>
    <d v="2024-09-18T00:00:00"/>
    <s v="Carousel"/>
    <s v="Explore the latest carousel on Myntra! Trendy styles await."/>
    <n v="2143"/>
    <n v="12"/>
    <n v="204"/>
    <n v="40717"/>
    <n v="40125"/>
    <n v="248"/>
    <s v="StyleRevolution"/>
    <n v="2359"/>
    <x v="4"/>
  </r>
  <r>
    <x v="255"/>
    <s v="YouTube"/>
    <d v="2024-09-18T00:00:00"/>
    <s v="Carousel"/>
    <s v="Explore the latest carousel on Myntra! Trendy styles await."/>
    <n v="2143"/>
    <n v="12"/>
    <n v="204"/>
    <n v="40717"/>
    <n v="40125"/>
    <n v="248"/>
    <s v="StyleRevolution"/>
    <n v="2359"/>
    <x v="0"/>
  </r>
  <r>
    <x v="256"/>
    <s v="Facebook"/>
    <d v="2025-04-06T00:00:00"/>
    <s v="Image"/>
    <s v="Explore the latest image on Myntra! Trendy styles await."/>
    <n v="3090"/>
    <n v="697"/>
    <n v="164"/>
    <n v="49440"/>
    <n v="48524"/>
    <n v="25"/>
    <s v="StyleRevolution"/>
    <n v="3951"/>
    <x v="4"/>
  </r>
  <r>
    <x v="256"/>
    <s v="Facebook"/>
    <d v="2025-04-06T00:00:00"/>
    <s v="Image"/>
    <s v="Explore the latest image on Myntra! Trendy styles await."/>
    <n v="3090"/>
    <n v="697"/>
    <n v="164"/>
    <n v="49440"/>
    <n v="48524"/>
    <n v="25"/>
    <s v="StyleRevolution"/>
    <n v="3951"/>
    <x v="2"/>
  </r>
  <r>
    <x v="257"/>
    <s v="Instagram"/>
    <d v="2024-08-05T00:00:00"/>
    <s v="Story"/>
    <s v="Explore the latest story on Myntra! Trendy styles await."/>
    <n v="3601"/>
    <n v="695"/>
    <n v="75"/>
    <n v="21606"/>
    <n v="21454"/>
    <n v="172"/>
    <s v="EndOfSeasonSale"/>
    <n v="4371"/>
    <x v="2"/>
  </r>
  <r>
    <x v="258"/>
    <s v="Facebook"/>
    <d v="2025-02-10T00:00:00"/>
    <s v="Text"/>
    <s v="Explore the latest text on Myntra! Trendy styles await."/>
    <n v="562"/>
    <n v="158"/>
    <n v="149"/>
    <n v="3372"/>
    <n v="2940"/>
    <n v="93"/>
    <s v="StyleRevolution"/>
    <n v="869"/>
    <x v="4"/>
  </r>
  <r>
    <x v="258"/>
    <s v="Facebook"/>
    <d v="2025-02-10T00:00:00"/>
    <s v="Text"/>
    <s v="Explore the latest text on Myntra! Trendy styles await."/>
    <n v="562"/>
    <n v="158"/>
    <n v="149"/>
    <n v="3372"/>
    <n v="2940"/>
    <n v="93"/>
    <s v="StyleRevolution"/>
    <n v="869"/>
    <x v="0"/>
  </r>
  <r>
    <x v="259"/>
    <s v="Instagram"/>
    <d v="2025-02-12T00:00:00"/>
    <s v="Story"/>
    <s v="Explore the latest story on Myntra! Trendy styles await."/>
    <n v="4332"/>
    <n v="771"/>
    <n v="219"/>
    <n v="60648"/>
    <n v="60397"/>
    <n v="10"/>
    <s v="MyntraFestiveEdit"/>
    <n v="5322"/>
    <x v="1"/>
  </r>
  <r>
    <x v="260"/>
    <s v="Instagram"/>
    <d v="2024-10-27T00:00:00"/>
    <s v="Image"/>
    <s v="Explore the latest image on Myntra! Trendy styles await."/>
    <n v="4853"/>
    <n v="837"/>
    <n v="340"/>
    <n v="72795"/>
    <n v="72237"/>
    <n v="170"/>
    <s v="EndOfSeasonSale"/>
    <n v="6030"/>
    <x v="0"/>
  </r>
  <r>
    <x v="261"/>
    <s v="YouTube"/>
    <d v="2025-01-18T00:00:00"/>
    <s v="Image"/>
    <s v="Explore the latest image on Myntra! Trendy styles await."/>
    <n v="1206"/>
    <n v="238"/>
    <n v="36"/>
    <n v="9648"/>
    <n v="9417"/>
    <n v="237"/>
    <s v="MyntraFestiveEdit"/>
    <n v="1480"/>
    <x v="0"/>
  </r>
  <r>
    <x v="261"/>
    <s v="YouTube"/>
    <d v="2025-01-18T00:00:00"/>
    <s v="Image"/>
    <s v="Explore the latest image on Myntra! Trendy styles await."/>
    <n v="1206"/>
    <n v="238"/>
    <n v="36"/>
    <n v="9648"/>
    <n v="9417"/>
    <n v="237"/>
    <s v="MyntraFestiveEdit"/>
    <n v="1480"/>
    <x v="2"/>
  </r>
  <r>
    <x v="262"/>
    <s v="Instagram"/>
    <d v="2024-08-20T00:00:00"/>
    <s v="Reel"/>
    <s v="Explore the latest reel on Myntra! Trendy styles await."/>
    <n v="2603"/>
    <n v="690"/>
    <n v="205"/>
    <n v="13015"/>
    <n v="12130"/>
    <n v="20"/>
    <s v="FashionUpgrade"/>
    <n v="3498"/>
    <x v="3"/>
  </r>
  <r>
    <x v="263"/>
    <s v="Twitter"/>
    <d v="2025-01-30T00:00:00"/>
    <s v="Image"/>
    <s v="Explore the latest image on Myntra! Trendy styles await."/>
    <n v="59"/>
    <n v="163"/>
    <n v="93"/>
    <n v="590"/>
    <n v="475"/>
    <n v="293"/>
    <s v="StyleRevolution"/>
    <n v="315"/>
    <x v="3"/>
  </r>
  <r>
    <x v="264"/>
    <s v="Twitter"/>
    <d v="2025-02-20T00:00:00"/>
    <s v="Carousel"/>
    <s v="Explore the latest carousel on Myntra! Trendy styles await."/>
    <n v="1877"/>
    <n v="745"/>
    <n v="225"/>
    <n v="11262"/>
    <n v="10967"/>
    <n v="41"/>
    <s v="FashionUpgrade"/>
    <n v="2847"/>
    <x v="2"/>
  </r>
  <r>
    <x v="264"/>
    <s v="Twitter"/>
    <d v="2025-02-20T00:00:00"/>
    <s v="Carousel"/>
    <s v="Explore the latest carousel on Myntra! Trendy styles await."/>
    <n v="1877"/>
    <n v="745"/>
    <n v="225"/>
    <n v="11262"/>
    <n v="10967"/>
    <n v="41"/>
    <s v="FashionUpgrade"/>
    <n v="2847"/>
    <x v="0"/>
  </r>
  <r>
    <x v="265"/>
    <s v="Facebook"/>
    <d v="2024-11-25T00:00:00"/>
    <s v="Story"/>
    <s v="Explore the latest story on Myntra! Trendy styles await."/>
    <n v="4182"/>
    <n v="640"/>
    <n v="240"/>
    <n v="50184"/>
    <n v="49351"/>
    <n v="10"/>
    <s v="MyntraFestiveEdit"/>
    <n v="5062"/>
    <x v="0"/>
  </r>
  <r>
    <x v="265"/>
    <s v="Facebook"/>
    <d v="2024-11-25T00:00:00"/>
    <s v="Story"/>
    <s v="Explore the latest story on Myntra! Trendy styles await."/>
    <n v="4182"/>
    <n v="640"/>
    <n v="240"/>
    <n v="50184"/>
    <n v="49351"/>
    <n v="10"/>
    <s v="MyntraFestiveEdit"/>
    <n v="5062"/>
    <x v="2"/>
  </r>
  <r>
    <x v="266"/>
    <s v="Twitter"/>
    <d v="2024-10-04T00:00:00"/>
    <s v="Reel"/>
    <s v="Explore the latest reel on Myntra! Trendy styles await."/>
    <n v="4187"/>
    <n v="66"/>
    <n v="31"/>
    <n v="66992"/>
    <n v="66614"/>
    <n v="62"/>
    <s v="StyleRevolution"/>
    <n v="4284"/>
    <x v="2"/>
  </r>
  <r>
    <x v="267"/>
    <s v="Instagram"/>
    <d v="2025-04-13T00:00:00"/>
    <s v="Reel"/>
    <s v="Explore the latest reel on Myntra! Trendy styles await."/>
    <n v="4579"/>
    <n v="125"/>
    <n v="300"/>
    <n v="59527"/>
    <n v="59400"/>
    <n v="269"/>
    <s v="FashionUpgrade"/>
    <n v="5004"/>
    <x v="2"/>
  </r>
  <r>
    <x v="267"/>
    <s v="Instagram"/>
    <d v="2025-04-13T00:00:00"/>
    <s v="Reel"/>
    <s v="Explore the latest reel on Myntra! Trendy styles await."/>
    <n v="4579"/>
    <n v="125"/>
    <n v="300"/>
    <n v="59527"/>
    <n v="59400"/>
    <n v="269"/>
    <s v="FashionUpgrade"/>
    <n v="5004"/>
    <x v="1"/>
  </r>
  <r>
    <x v="268"/>
    <s v="Instagram"/>
    <d v="2024-11-05T00:00:00"/>
    <s v="Video"/>
    <s v="Explore the latest video on Myntra! Trendy styles await."/>
    <n v="4561"/>
    <n v="51"/>
    <n v="441"/>
    <n v="22805"/>
    <n v="21890"/>
    <n v="45"/>
    <s v="EndOfSeasonSale"/>
    <n v="5053"/>
    <x v="2"/>
  </r>
  <r>
    <x v="269"/>
    <s v="YouTube"/>
    <d v="2025-01-15T00:00:00"/>
    <s v="Reel"/>
    <s v="Explore the latest reel on Myntra! Trendy styles await."/>
    <n v="3774"/>
    <n v="239"/>
    <n v="39"/>
    <n v="60384"/>
    <n v="59490"/>
    <n v="241"/>
    <s v="MyntraFestiveEdit"/>
    <n v="4052"/>
    <x v="4"/>
  </r>
  <r>
    <x v="270"/>
    <s v="Instagram"/>
    <d v="2024-10-17T00:00:00"/>
    <s v="Video"/>
    <s v="Explore the latest video on Myntra! Trendy styles await."/>
    <n v="3575"/>
    <n v="749"/>
    <n v="111"/>
    <n v="21450"/>
    <n v="20785"/>
    <n v="195"/>
    <s v="MyntraFestiveEdit"/>
    <n v="4435"/>
    <x v="4"/>
  </r>
  <r>
    <x v="271"/>
    <s v="Instagram"/>
    <d v="2025-03-27T00:00:00"/>
    <s v="Text"/>
    <s v="Explore the latest text on Myntra! Trendy styles await."/>
    <n v="4941"/>
    <n v="414"/>
    <n v="266"/>
    <n v="39528"/>
    <n v="39154"/>
    <n v="217"/>
    <s v="EndOfSeasonSale"/>
    <n v="5621"/>
    <x v="0"/>
  </r>
  <r>
    <x v="272"/>
    <s v="YouTube"/>
    <d v="2024-10-12T00:00:00"/>
    <s v="Story"/>
    <s v="Explore the latest story on Myntra! Trendy styles await."/>
    <n v="3641"/>
    <n v="226"/>
    <n v="46"/>
    <n v="40051"/>
    <n v="39319"/>
    <n v="296"/>
    <s v="EndOfSeasonSale"/>
    <n v="3913"/>
    <x v="3"/>
  </r>
  <r>
    <x v="273"/>
    <s v="Twitter"/>
    <d v="2025-01-01T00:00:00"/>
    <s v="Carousel"/>
    <s v="Explore the latest carousel on Myntra! Trendy styles await."/>
    <n v="3535"/>
    <n v="494"/>
    <n v="152"/>
    <n v="53025"/>
    <n v="52791"/>
    <n v="44"/>
    <s v="EndOfSeasonSale"/>
    <n v="4181"/>
    <x v="3"/>
  </r>
  <r>
    <x v="273"/>
    <s v="Twitter"/>
    <d v="2025-01-01T00:00:00"/>
    <s v="Carousel"/>
    <s v="Explore the latest carousel on Myntra! Trendy styles await."/>
    <n v="3535"/>
    <n v="494"/>
    <n v="152"/>
    <n v="53025"/>
    <n v="52791"/>
    <n v="44"/>
    <s v="EndOfSeasonSale"/>
    <n v="4181"/>
    <x v="2"/>
  </r>
  <r>
    <x v="274"/>
    <s v="Facebook"/>
    <d v="2024-08-05T00:00:00"/>
    <s v="Reel"/>
    <s v="Explore the latest reel on Myntra! Trendy styles await."/>
    <n v="1741"/>
    <n v="831"/>
    <n v="345"/>
    <n v="17410"/>
    <n v="16844"/>
    <n v="58"/>
    <s v="StyleRevolution"/>
    <n v="2917"/>
    <x v="1"/>
  </r>
  <r>
    <x v="274"/>
    <s v="Facebook"/>
    <d v="2024-08-05T00:00:00"/>
    <s v="Reel"/>
    <s v="Explore the latest reel on Myntra! Trendy styles await."/>
    <n v="1741"/>
    <n v="831"/>
    <n v="345"/>
    <n v="17410"/>
    <n v="16844"/>
    <n v="58"/>
    <s v="StyleRevolution"/>
    <n v="2917"/>
    <x v="4"/>
  </r>
  <r>
    <x v="275"/>
    <s v="Twitter"/>
    <d v="2024-06-07T00:00:00"/>
    <s v="Carousel"/>
    <s v="Explore the latest carousel on Myntra! Trendy styles await."/>
    <n v="1556"/>
    <n v="195"/>
    <n v="131"/>
    <n v="9336"/>
    <n v="8875"/>
    <n v="137"/>
    <s v="EndOfSeasonSale"/>
    <n v="1882"/>
    <x v="1"/>
  </r>
  <r>
    <x v="276"/>
    <s v="Facebook"/>
    <d v="2025-04-06T00:00:00"/>
    <s v="Image"/>
    <s v="Explore the latest image on Myntra! Trendy styles await."/>
    <n v="4236"/>
    <n v="711"/>
    <n v="298"/>
    <n v="21180"/>
    <n v="20516"/>
    <n v="238"/>
    <s v="StyleRevolution"/>
    <n v="5245"/>
    <x v="3"/>
  </r>
  <r>
    <x v="276"/>
    <s v="Facebook"/>
    <d v="2025-04-06T00:00:00"/>
    <s v="Image"/>
    <s v="Explore the latest image on Myntra! Trendy styles await."/>
    <n v="4236"/>
    <n v="711"/>
    <n v="298"/>
    <n v="21180"/>
    <n v="20516"/>
    <n v="238"/>
    <s v="StyleRevolution"/>
    <n v="5245"/>
    <x v="0"/>
  </r>
  <r>
    <x v="277"/>
    <s v="Twitter"/>
    <d v="2024-11-26T00:00:00"/>
    <s v="Text"/>
    <s v="Explore the latest text on Myntra! Trendy styles await."/>
    <n v="4516"/>
    <n v="836"/>
    <n v="169"/>
    <n v="49676"/>
    <n v="49257"/>
    <n v="282"/>
    <s v="FashionUpgrade"/>
    <n v="5521"/>
    <x v="3"/>
  </r>
  <r>
    <x v="278"/>
    <s v="YouTube"/>
    <d v="2024-09-02T00:00:00"/>
    <s v="Image"/>
    <s v="Explore the latest image on Myntra! Trendy styles await."/>
    <n v="4905"/>
    <n v="845"/>
    <n v="129"/>
    <n v="98100"/>
    <n v="97772"/>
    <n v="279"/>
    <s v="StyleRevolution"/>
    <n v="5879"/>
    <x v="3"/>
  </r>
  <r>
    <x v="279"/>
    <s v="YouTube"/>
    <d v="2024-10-21T00:00:00"/>
    <s v="Video"/>
    <s v="Explore the latest video on Myntra! Trendy styles await."/>
    <n v="4275"/>
    <n v="680"/>
    <n v="385"/>
    <n v="64125"/>
    <n v="63650"/>
    <n v="104"/>
    <s v="StyleRevolution"/>
    <n v="5340"/>
    <x v="2"/>
  </r>
  <r>
    <x v="280"/>
    <s v="YouTube"/>
    <d v="2025-03-22T00:00:00"/>
    <s v="Image"/>
    <s v="Explore the latest image on Myntra! Trendy styles await."/>
    <n v="3166"/>
    <n v="90"/>
    <n v="341"/>
    <n v="56988"/>
    <n v="56125"/>
    <n v="135"/>
    <s v="EndOfSeasonSale"/>
    <n v="3597"/>
    <x v="1"/>
  </r>
  <r>
    <x v="280"/>
    <s v="YouTube"/>
    <d v="2025-03-22T00:00:00"/>
    <s v="Image"/>
    <s v="Explore the latest image on Myntra! Trendy styles await."/>
    <n v="3166"/>
    <n v="90"/>
    <n v="341"/>
    <n v="56988"/>
    <n v="56125"/>
    <n v="135"/>
    <s v="EndOfSeasonSale"/>
    <n v="3597"/>
    <x v="2"/>
  </r>
  <r>
    <x v="281"/>
    <s v="Instagram"/>
    <d v="2024-10-03T00:00:00"/>
    <s v="Video"/>
    <s v="Explore the latest video on Myntra! Trendy styles await."/>
    <n v="1488"/>
    <n v="417"/>
    <n v="168"/>
    <n v="19344"/>
    <n v="18395"/>
    <n v="30"/>
    <s v="FashionUpgrade"/>
    <n v="2073"/>
    <x v="0"/>
  </r>
  <r>
    <x v="282"/>
    <s v="Twitter"/>
    <d v="2025-05-09T00:00:00"/>
    <s v="Reel"/>
    <s v="Explore the latest reel on Myntra! Trendy styles await."/>
    <n v="3367"/>
    <n v="302"/>
    <n v="57"/>
    <n v="63973"/>
    <n v="63789"/>
    <n v="157"/>
    <s v="MyntraFestiveEdit"/>
    <n v="3726"/>
    <x v="3"/>
  </r>
  <r>
    <x v="282"/>
    <s v="Twitter"/>
    <d v="2025-05-09T00:00:00"/>
    <s v="Reel"/>
    <s v="Explore the latest reel on Myntra! Trendy styles await."/>
    <n v="3367"/>
    <n v="302"/>
    <n v="57"/>
    <n v="63973"/>
    <n v="63789"/>
    <n v="157"/>
    <s v="MyntraFestiveEdit"/>
    <n v="3726"/>
    <x v="1"/>
  </r>
  <r>
    <x v="283"/>
    <s v="Twitter"/>
    <d v="2024-09-17T00:00:00"/>
    <s v="Text"/>
    <s v="Explore the latest text on Myntra! Trendy styles await."/>
    <n v="571"/>
    <n v="190"/>
    <n v="352"/>
    <n v="9707"/>
    <n v="9418"/>
    <n v="231"/>
    <s v="EndOfSeasonSale"/>
    <n v="1113"/>
    <x v="4"/>
  </r>
  <r>
    <x v="284"/>
    <s v="YouTube"/>
    <d v="2024-07-18T00:00:00"/>
    <s v="Text"/>
    <s v="Explore the latest text on Myntra! Trendy styles await."/>
    <n v="4021"/>
    <n v="794"/>
    <n v="77"/>
    <n v="36189"/>
    <n v="35505"/>
    <n v="174"/>
    <s v="FashionUpgrade"/>
    <n v="4892"/>
    <x v="4"/>
  </r>
  <r>
    <x v="284"/>
    <s v="YouTube"/>
    <d v="2024-07-18T00:00:00"/>
    <s v="Text"/>
    <s v="Explore the latest text on Myntra! Trendy styles await."/>
    <n v="4021"/>
    <n v="794"/>
    <n v="77"/>
    <n v="36189"/>
    <n v="35505"/>
    <n v="174"/>
    <s v="FashionUpgrade"/>
    <n v="4892"/>
    <x v="2"/>
  </r>
  <r>
    <x v="285"/>
    <s v="YouTube"/>
    <d v="2024-09-25T00:00:00"/>
    <s v="Video"/>
    <s v="Explore the latest video on Myntra! Trendy styles await."/>
    <n v="3389"/>
    <n v="344"/>
    <n v="229"/>
    <n v="20334"/>
    <n v="19443"/>
    <n v="228"/>
    <s v="EndOfSeasonSale"/>
    <n v="3962"/>
    <x v="1"/>
  </r>
  <r>
    <x v="285"/>
    <s v="YouTube"/>
    <d v="2024-09-25T00:00:00"/>
    <s v="Video"/>
    <s v="Explore the latest video on Myntra! Trendy styles await."/>
    <n v="3389"/>
    <n v="344"/>
    <n v="229"/>
    <n v="20334"/>
    <n v="19443"/>
    <n v="228"/>
    <s v="EndOfSeasonSale"/>
    <n v="3962"/>
    <x v="0"/>
  </r>
  <r>
    <x v="286"/>
    <s v="Instagram"/>
    <d v="2024-08-15T00:00:00"/>
    <s v="Reel"/>
    <s v="Explore the latest reel on Myntra! Trendy styles await."/>
    <n v="1164"/>
    <n v="616"/>
    <n v="324"/>
    <n v="6984"/>
    <n v="6636"/>
    <n v="82"/>
    <s v="MyntraFestiveEdit"/>
    <n v="2104"/>
    <x v="1"/>
  </r>
  <r>
    <x v="286"/>
    <s v="Instagram"/>
    <d v="2024-08-15T00:00:00"/>
    <s v="Reel"/>
    <s v="Explore the latest reel on Myntra! Trendy styles await."/>
    <n v="1164"/>
    <n v="616"/>
    <n v="324"/>
    <n v="6984"/>
    <n v="6636"/>
    <n v="82"/>
    <s v="MyntraFestiveEdit"/>
    <n v="2104"/>
    <x v="3"/>
  </r>
  <r>
    <x v="287"/>
    <s v="YouTube"/>
    <d v="2025-04-17T00:00:00"/>
    <s v="Carousel"/>
    <s v="Explore the latest carousel on Myntra! Trendy styles await."/>
    <n v="4780"/>
    <n v="691"/>
    <n v="380"/>
    <n v="86040"/>
    <n v="85743"/>
    <n v="262"/>
    <s v="MyntraFestiveEdit"/>
    <n v="5851"/>
    <x v="1"/>
  </r>
  <r>
    <x v="287"/>
    <s v="YouTube"/>
    <d v="2025-04-17T00:00:00"/>
    <s v="Carousel"/>
    <s v="Explore the latest carousel on Myntra! Trendy styles await."/>
    <n v="4780"/>
    <n v="691"/>
    <n v="380"/>
    <n v="86040"/>
    <n v="85743"/>
    <n v="262"/>
    <s v="MyntraFestiveEdit"/>
    <n v="5851"/>
    <x v="4"/>
  </r>
  <r>
    <x v="288"/>
    <s v="Facebook"/>
    <d v="2024-11-28T00:00:00"/>
    <s v="Carousel"/>
    <s v="Explore the latest carousel on Myntra! Trendy styles await."/>
    <n v="2751"/>
    <n v="33"/>
    <n v="430"/>
    <n v="44016"/>
    <n v="43415"/>
    <n v="129"/>
    <s v="EndOfSeasonSale"/>
    <n v="3214"/>
    <x v="3"/>
  </r>
  <r>
    <x v="288"/>
    <s v="Facebook"/>
    <d v="2024-11-28T00:00:00"/>
    <s v="Carousel"/>
    <s v="Explore the latest carousel on Myntra! Trendy styles await."/>
    <n v="2751"/>
    <n v="33"/>
    <n v="430"/>
    <n v="44016"/>
    <n v="43415"/>
    <n v="129"/>
    <s v="EndOfSeasonSale"/>
    <n v="3214"/>
    <x v="2"/>
  </r>
  <r>
    <x v="289"/>
    <s v="Instagram"/>
    <d v="2024-12-20T00:00:00"/>
    <s v="Carousel"/>
    <s v="Explore the latest carousel on Myntra! Trendy styles await."/>
    <n v="2107"/>
    <n v="550"/>
    <n v="349"/>
    <n v="35819"/>
    <n v="35340"/>
    <n v="191"/>
    <s v="MyntraFestiveEdit"/>
    <n v="3006"/>
    <x v="3"/>
  </r>
  <r>
    <x v="290"/>
    <s v="Facebook"/>
    <d v="2024-11-06T00:00:00"/>
    <s v="Video"/>
    <s v="Explore the latest video on Myntra! Trendy styles await."/>
    <n v="4663"/>
    <n v="145"/>
    <n v="225"/>
    <n v="69945"/>
    <n v="69596"/>
    <n v="35"/>
    <s v="EndOfSeasonSale"/>
    <n v="5033"/>
    <x v="1"/>
  </r>
  <r>
    <x v="291"/>
    <s v="Facebook"/>
    <d v="2024-11-17T00:00:00"/>
    <s v="Text"/>
    <s v="Explore the latest text on Myntra! Trendy styles await."/>
    <n v="880"/>
    <n v="297"/>
    <n v="345"/>
    <n v="12320"/>
    <n v="11978"/>
    <n v="238"/>
    <s v="EndOfSeasonSale"/>
    <n v="1522"/>
    <x v="0"/>
  </r>
  <r>
    <x v="292"/>
    <s v="Facebook"/>
    <d v="2025-05-14T00:00:00"/>
    <s v="Text"/>
    <s v="Explore the latest text on Myntra! Trendy styles await."/>
    <n v="2634"/>
    <n v="726"/>
    <n v="241"/>
    <n v="28974"/>
    <n v="28102"/>
    <n v="277"/>
    <s v="MyntraFestiveEdit"/>
    <n v="3601"/>
    <x v="2"/>
  </r>
  <r>
    <x v="293"/>
    <s v="Facebook"/>
    <d v="2024-06-19T00:00:00"/>
    <s v="Carousel"/>
    <s v="Explore the latest carousel on Myntra! Trendy styles await."/>
    <n v="4731"/>
    <n v="173"/>
    <n v="276"/>
    <n v="28386"/>
    <n v="28185"/>
    <n v="89"/>
    <s v="StyleRevolution"/>
    <n v="5180"/>
    <x v="3"/>
  </r>
  <r>
    <x v="293"/>
    <s v="Facebook"/>
    <d v="2024-06-19T00:00:00"/>
    <s v="Carousel"/>
    <s v="Explore the latest carousel on Myntra! Trendy styles await."/>
    <n v="4731"/>
    <n v="173"/>
    <n v="276"/>
    <n v="28386"/>
    <n v="28185"/>
    <n v="89"/>
    <s v="StyleRevolution"/>
    <n v="5180"/>
    <x v="1"/>
  </r>
  <r>
    <x v="294"/>
    <s v="Twitter"/>
    <d v="2025-05-06T00:00:00"/>
    <s v="Image"/>
    <s v="Explore the latest image on Myntra! Trendy styles await."/>
    <n v="1952"/>
    <n v="344"/>
    <n v="287"/>
    <n v="15616"/>
    <n v="15403"/>
    <n v="235"/>
    <s v="MyntraFestiveEdit"/>
    <n v="2583"/>
    <x v="0"/>
  </r>
  <r>
    <x v="294"/>
    <s v="Twitter"/>
    <d v="2025-05-06T00:00:00"/>
    <s v="Image"/>
    <s v="Explore the latest image on Myntra! Trendy styles await."/>
    <n v="1952"/>
    <n v="344"/>
    <n v="287"/>
    <n v="15616"/>
    <n v="15403"/>
    <n v="235"/>
    <s v="MyntraFestiveEdit"/>
    <n v="2583"/>
    <x v="1"/>
  </r>
  <r>
    <x v="295"/>
    <s v="Twitter"/>
    <d v="2025-02-11T00:00:00"/>
    <s v="Video"/>
    <s v="Explore the latest video on Myntra! Trendy styles await."/>
    <n v="3440"/>
    <n v="13"/>
    <n v="20"/>
    <n v="58480"/>
    <n v="58146"/>
    <n v="210"/>
    <s v="FashionUpgrade"/>
    <n v="3473"/>
    <x v="1"/>
  </r>
  <r>
    <x v="295"/>
    <s v="Twitter"/>
    <d v="2025-02-11T00:00:00"/>
    <s v="Video"/>
    <s v="Explore the latest video on Myntra! Trendy styles await."/>
    <n v="3440"/>
    <n v="13"/>
    <n v="20"/>
    <n v="58480"/>
    <n v="58146"/>
    <n v="210"/>
    <s v="FashionUpgrade"/>
    <n v="3473"/>
    <x v="4"/>
  </r>
  <r>
    <x v="296"/>
    <s v="Twitter"/>
    <d v="2024-12-24T00:00:00"/>
    <s v="Text"/>
    <s v="Explore the latest text on Myntra! Trendy styles await."/>
    <n v="2166"/>
    <n v="354"/>
    <n v="117"/>
    <n v="10830"/>
    <n v="10245"/>
    <n v="24"/>
    <s v="FashionUpgrade"/>
    <n v="2637"/>
    <x v="2"/>
  </r>
  <r>
    <x v="296"/>
    <s v="Twitter"/>
    <d v="2024-12-24T00:00:00"/>
    <s v="Text"/>
    <s v="Explore the latest text on Myntra! Trendy styles await."/>
    <n v="2166"/>
    <n v="354"/>
    <n v="117"/>
    <n v="10830"/>
    <n v="10245"/>
    <n v="24"/>
    <s v="FashionUpgrade"/>
    <n v="2637"/>
    <x v="3"/>
  </r>
  <r>
    <x v="297"/>
    <s v="Facebook"/>
    <d v="2024-10-24T00:00:00"/>
    <s v="Image"/>
    <s v="Explore the latest image on Myntra! Trendy styles await."/>
    <n v="4303"/>
    <n v="451"/>
    <n v="286"/>
    <n v="86060"/>
    <n v="85823"/>
    <n v="14"/>
    <s v="EndOfSeasonSale"/>
    <n v="5040"/>
    <x v="0"/>
  </r>
  <r>
    <x v="298"/>
    <s v="Facebook"/>
    <d v="2024-08-26T00:00:00"/>
    <s v="Image"/>
    <s v="Explore the latest image on Myntra! Trendy styles await."/>
    <n v="2581"/>
    <n v="517"/>
    <n v="117"/>
    <n v="23229"/>
    <n v="22331"/>
    <n v="70"/>
    <s v="EndOfSeasonSale"/>
    <n v="3215"/>
    <x v="0"/>
  </r>
  <r>
    <x v="298"/>
    <s v="Facebook"/>
    <d v="2024-08-26T00:00:00"/>
    <s v="Image"/>
    <s v="Explore the latest image on Myntra! Trendy styles await."/>
    <n v="2581"/>
    <n v="517"/>
    <n v="117"/>
    <n v="23229"/>
    <n v="22331"/>
    <n v="70"/>
    <s v="EndOfSeasonSale"/>
    <n v="3215"/>
    <x v="2"/>
  </r>
  <r>
    <x v="299"/>
    <s v="Twitter"/>
    <d v="2024-08-31T00:00:00"/>
    <s v="Carousel"/>
    <s v="Explore the latest carousel on Myntra! Trendy styles await."/>
    <n v="4494"/>
    <n v="717"/>
    <n v="45"/>
    <n v="62916"/>
    <n v="62688"/>
    <n v="191"/>
    <s v="FashionUpgrade"/>
    <n v="5256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17"/>
    <x v="0"/>
    <s v="2025-05-05"/>
    <s v="Text"/>
    <s v="Explore the latest text on Myntra! Trendy styles await."/>
    <n v="4441"/>
    <n v="511"/>
    <n v="70"/>
    <n v="53292"/>
    <n v="53082"/>
    <n v="159"/>
    <s v="MyntraFestiveEdit"/>
    <s v="#FashionDeals"/>
    <s v="NULL"/>
    <n v="9.4235532537716729E-2"/>
  </r>
  <r>
    <s v="P036"/>
    <x v="1"/>
    <s v="2025-04-19"/>
    <s v="Story"/>
    <s v="Explore the latest story on Myntra! Trendy styles await."/>
    <n v="4518"/>
    <n v="285"/>
    <n v="383"/>
    <n v="67770"/>
    <n v="67621"/>
    <n v="31"/>
    <s v="EndOfSeasonSale"/>
    <s v="#FashionDeals"/>
    <s v="NULL"/>
    <n v="7.6523535487678915E-2"/>
  </r>
  <r>
    <s v="P038"/>
    <x v="2"/>
    <s v="2025-02-17"/>
    <s v="Reel"/>
    <s v="Explore the latest reel on Myntra! Trendy styles await."/>
    <n v="3138"/>
    <n v="123"/>
    <n v="291"/>
    <n v="28242"/>
    <n v="27550"/>
    <n v="87"/>
    <s v="StyleRevolution"/>
    <s v="#FashionDeals"/>
    <s v="NULL"/>
    <n v="0.12577012959422137"/>
  </r>
  <r>
    <s v="P039"/>
    <x v="0"/>
    <s v="2024-11-25"/>
    <s v="Image"/>
    <s v="Explore the latest image on Myntra! Trendy styles await."/>
    <n v="3564"/>
    <n v="629"/>
    <n v="177"/>
    <n v="60588"/>
    <n v="59627"/>
    <n v="92"/>
    <s v="MyntraFestiveEdit"/>
    <s v="#FashionDeals"/>
    <s v="#MyntraSale"/>
    <n v="7.2126493695121141E-2"/>
  </r>
  <r>
    <s v="P045"/>
    <x v="0"/>
    <s v="2024-11-01"/>
    <s v="Video"/>
    <s v="Explore the latest video on Myntra! Trendy styles await."/>
    <n v="3371"/>
    <n v="106"/>
    <n v="327"/>
    <n v="50565"/>
    <n v="49816"/>
    <n v="176"/>
    <s v="StyleRevolution"/>
    <s v="#FashionDeals"/>
    <s v="NULL"/>
    <n v="7.5229902106199939E-2"/>
  </r>
  <r>
    <s v="P047"/>
    <x v="3"/>
    <s v="2025-02-24"/>
    <s v="Carousel"/>
    <s v="Explore the latest carousel on Myntra! Trendy styles await."/>
    <n v="2704"/>
    <n v="752"/>
    <n v="153"/>
    <n v="21632"/>
    <n v="20792"/>
    <n v="127"/>
    <s v="FashionUpgrade"/>
    <s v="#FashionDeals"/>
    <s v="#MyntraFashion"/>
    <n v="0.16683616863905326"/>
  </r>
  <r>
    <s v="P059"/>
    <x v="1"/>
    <s v="2024-06-22"/>
    <s v="Text"/>
    <s v="Explore the latest text on Myntra! Trendy styles await."/>
    <n v="2180"/>
    <n v="263"/>
    <n v="387"/>
    <n v="30520"/>
    <n v="30059"/>
    <n v="174"/>
    <s v="FashionUpgrade"/>
    <s v="#FashionDeals"/>
    <s v="NULL"/>
    <n v="9.2726081258191345E-2"/>
  </r>
  <r>
    <s v="P062"/>
    <x v="3"/>
    <s v="2024-11-22"/>
    <s v="Carousel"/>
    <s v="Explore the latest carousel on Myntra! Trendy styles await."/>
    <n v="53"/>
    <n v="81"/>
    <n v="379"/>
    <n v="954"/>
    <n v="7"/>
    <n v="148"/>
    <s v="MyntraFestiveEdit"/>
    <s v="#FashionDeals"/>
    <s v="NULL"/>
    <n v="0.53773584905660377"/>
  </r>
  <r>
    <s v="P064"/>
    <x v="0"/>
    <s v="2024-08-17"/>
    <s v="Image"/>
    <s v="Explore the latest image on Myntra! Trendy styles await."/>
    <n v="2878"/>
    <n v="248"/>
    <n v="416"/>
    <n v="43170"/>
    <n v="42667"/>
    <n v="75"/>
    <s v="EndOfSeasonSale"/>
    <s v="#FashionDeals"/>
    <s v="#MyntraTrend"/>
    <n v="8.2047718322909427E-2"/>
  </r>
  <r>
    <s v="P065"/>
    <x v="1"/>
    <s v="2025-03-28"/>
    <s v="Story"/>
    <s v="Explore the latest story on Myntra! Trendy styles await."/>
    <n v="1881"/>
    <n v="501"/>
    <n v="99"/>
    <n v="20691"/>
    <n v="19987"/>
    <n v="289"/>
    <s v="EndOfSeasonSale"/>
    <s v="#FashionDeals"/>
    <s v="NULL"/>
    <n v="0.11990720603160794"/>
  </r>
  <r>
    <s v="P067"/>
    <x v="0"/>
    <s v="2025-03-29"/>
    <s v="Carousel"/>
    <s v="Explore the latest carousel on Myntra! Trendy styles await."/>
    <n v="4712"/>
    <n v="568"/>
    <n v="127"/>
    <n v="84816"/>
    <n v="84691"/>
    <n v="100"/>
    <s v="FashionUpgrade"/>
    <s v="#FashionDeals"/>
    <s v="NULL"/>
    <n v="6.3749764195434822E-2"/>
  </r>
  <r>
    <s v="P080"/>
    <x v="1"/>
    <s v="2024-06-13"/>
    <s v="Story"/>
    <s v="Explore the latest story on Myntra! Trendy styles await."/>
    <n v="2103"/>
    <n v="892"/>
    <n v="103"/>
    <n v="39957"/>
    <n v="39466"/>
    <n v="28"/>
    <s v="EndOfSeasonSale"/>
    <s v="#FashionDeals"/>
    <s v="#MyntraFashion"/>
    <n v="7.7533348349475686E-2"/>
  </r>
  <r>
    <s v="P096"/>
    <x v="3"/>
    <s v="2024-09-10"/>
    <s v="Image"/>
    <s v="Explore the latest image on Myntra! Trendy styles await."/>
    <n v="1238"/>
    <n v="366"/>
    <n v="444"/>
    <n v="19808"/>
    <n v="19334"/>
    <n v="123"/>
    <s v="MyntraFestiveEdit"/>
    <s v="#FashionDeals"/>
    <s v="NULL"/>
    <n v="0.10339256865912763"/>
  </r>
  <r>
    <s v="P110"/>
    <x v="1"/>
    <s v="2024-07-29"/>
    <s v="Reel"/>
    <s v="Explore the latest reel on Myntra! Trendy styles await."/>
    <n v="3523"/>
    <n v="753"/>
    <n v="482"/>
    <n v="38753"/>
    <n v="38579"/>
    <n v="270"/>
    <s v="EndOfSeasonSale"/>
    <s v="#FashionDeals"/>
    <s v="#StyleWithMyntra"/>
    <n v="0.12277759141227776"/>
  </r>
  <r>
    <s v="P114"/>
    <x v="3"/>
    <s v="2024-11-14"/>
    <s v="Story"/>
    <s v="Explore the latest story on Myntra! Trendy styles await."/>
    <n v="4000"/>
    <n v="689"/>
    <n v="488"/>
    <n v="40000"/>
    <n v="39569"/>
    <n v="44"/>
    <s v="MyntraFestiveEdit"/>
    <s v="#FashionDeals"/>
    <s v="#MyntraFashion"/>
    <n v="0.12942500000000001"/>
  </r>
  <r>
    <s v="P121"/>
    <x v="1"/>
    <s v="2024-07-29"/>
    <s v="Story"/>
    <s v="Explore the latest story on Myntra! Trendy styles await."/>
    <n v="498"/>
    <n v="701"/>
    <n v="412"/>
    <n v="4980"/>
    <n v="4185"/>
    <n v="185"/>
    <s v="StyleRevolution"/>
    <s v="#FashionDeals"/>
    <s v="#StyleWithMyntra"/>
    <n v="0.32349397590361445"/>
  </r>
  <r>
    <s v="P129"/>
    <x v="3"/>
    <s v="2024-07-21"/>
    <s v="Text"/>
    <s v="Explore the latest text on Myntra! Trendy styles await."/>
    <n v="2147"/>
    <n v="430"/>
    <n v="393"/>
    <n v="17176"/>
    <n v="16483"/>
    <n v="170"/>
    <s v="StyleRevolution"/>
    <s v="#FashionDeals"/>
    <s v="NULL"/>
    <n v="0.17291569632044715"/>
  </r>
  <r>
    <s v="P134"/>
    <x v="3"/>
    <s v="2025-04-24"/>
    <s v="Reel"/>
    <s v="Explore the latest reel on Myntra! Trendy styles await."/>
    <n v="3731"/>
    <n v="115"/>
    <n v="135"/>
    <n v="55965"/>
    <n v="55436"/>
    <n v="103"/>
    <s v="StyleRevolution"/>
    <s v="#FashionDeals"/>
    <s v="NULL"/>
    <n v="7.1133744304476013E-2"/>
  </r>
  <r>
    <s v="P137"/>
    <x v="0"/>
    <s v="2024-07-31"/>
    <s v="Video"/>
    <s v="Explore the latest video on Myntra! Trendy styles await."/>
    <n v="3008"/>
    <n v="94"/>
    <n v="37"/>
    <n v="15040"/>
    <n v="14639"/>
    <n v="277"/>
    <s v="FashionUpgrade"/>
    <s v="#FashionDeals"/>
    <s v="NULL"/>
    <n v="0.20871010638297871"/>
  </r>
  <r>
    <s v="P140"/>
    <x v="0"/>
    <s v="2024-07-15"/>
    <s v="Image"/>
    <s v="Explore the latest image on Myntra! Trendy styles await."/>
    <n v="2291"/>
    <n v="78"/>
    <n v="485"/>
    <n v="18328"/>
    <n v="18101"/>
    <n v="10"/>
    <s v="FashionUpgrade"/>
    <s v="#FashionDeals"/>
    <s v="NULL"/>
    <n v="0.15571802706241816"/>
  </r>
  <r>
    <s v="P145"/>
    <x v="1"/>
    <s v="2024-08-12"/>
    <s v="Carousel"/>
    <s v="Explore the latest carousel on Myntra! Trendy styles await."/>
    <n v="1878"/>
    <n v="62"/>
    <n v="179"/>
    <n v="37560"/>
    <n v="36874"/>
    <n v="142"/>
    <s v="FashionUpgrade"/>
    <s v="#FashionDeals"/>
    <s v="#MyntraTrend"/>
    <n v="5.6416400425985093E-2"/>
  </r>
  <r>
    <s v="P153"/>
    <x v="3"/>
    <s v="2025-01-01"/>
    <s v="Video"/>
    <s v="Explore the latest video on Myntra! Trendy styles await."/>
    <n v="754"/>
    <n v="197"/>
    <n v="257"/>
    <n v="6786"/>
    <n v="6221"/>
    <n v="212"/>
    <s v="MyntraFestiveEdit"/>
    <s v="#FashionDeals"/>
    <s v="#MyntraTrend"/>
    <n v="0.17801355732390214"/>
  </r>
  <r>
    <s v="P158"/>
    <x v="1"/>
    <s v="2024-08-11"/>
    <s v="Story"/>
    <s v="Explore the latest story on Myntra! Trendy styles await."/>
    <n v="1762"/>
    <n v="405"/>
    <n v="423"/>
    <n v="22906"/>
    <n v="21925"/>
    <n v="25"/>
    <s v="EndOfSeasonSale"/>
    <s v="#FashionDeals"/>
    <s v="NULL"/>
    <n v="0.11307081114118571"/>
  </r>
  <r>
    <s v="P164"/>
    <x v="2"/>
    <s v="2025-02-27"/>
    <s v="Text"/>
    <s v="Explore the latest text on Myntra! Trendy styles await."/>
    <n v="4934"/>
    <n v="971"/>
    <n v="156"/>
    <n v="39472"/>
    <n v="39025"/>
    <n v="169"/>
    <s v="EndOfSeasonSale"/>
    <s v="#FashionDeals"/>
    <s v="#StyleWithMyntra"/>
    <n v="0.15355188488042157"/>
  </r>
  <r>
    <s v="P166"/>
    <x v="3"/>
    <s v="2025-02-16"/>
    <s v="Reel"/>
    <s v="Explore the latest reel on Myntra! Trendy styles await."/>
    <n v="1076"/>
    <n v="313"/>
    <n v="306"/>
    <n v="11836"/>
    <n v="11596"/>
    <n v="104"/>
    <s v="EndOfSeasonSale"/>
    <s v="#FashionDeals"/>
    <s v="NULL"/>
    <n v="0.14320716458262928"/>
  </r>
  <r>
    <s v="P173"/>
    <x v="3"/>
    <s v="2024-12-05"/>
    <s v="Video"/>
    <s v="Explore the latest video on Myntra! Trendy styles await."/>
    <n v="1330"/>
    <n v="925"/>
    <n v="35"/>
    <n v="15960"/>
    <n v="15379"/>
    <n v="229"/>
    <s v="StyleRevolution"/>
    <s v="#FashionDeals"/>
    <s v="#MyntraTrend"/>
    <n v="0.14348370927318296"/>
  </r>
  <r>
    <s v="P177"/>
    <x v="1"/>
    <s v="2024-07-10"/>
    <s v="Carousel"/>
    <s v="Explore the latest carousel on Myntra! Trendy styles await."/>
    <n v="3099"/>
    <n v="694"/>
    <n v="171"/>
    <n v="43386"/>
    <n v="42921"/>
    <n v="52"/>
    <s v="StyleRevolution"/>
    <s v="#FashionDeals"/>
    <s v="NULL"/>
    <n v="9.1365878393951966E-2"/>
  </r>
  <r>
    <s v="P182"/>
    <x v="0"/>
    <s v="2024-07-31"/>
    <s v="Image"/>
    <s v="Explore the latest image on Myntra! Trendy styles await."/>
    <n v="4689"/>
    <n v="134"/>
    <n v="403"/>
    <n v="51579"/>
    <n v="50924"/>
    <n v="173"/>
    <s v="FashionUpgrade"/>
    <s v="#FashionDeals"/>
    <s v="NULL"/>
    <n v="0.10132030477519921"/>
  </r>
  <r>
    <s v="P192"/>
    <x v="1"/>
    <s v="2024-11-29"/>
    <s v="Video"/>
    <s v="Explore the latest video on Myntra! Trendy styles await."/>
    <n v="1176"/>
    <n v="464"/>
    <n v="394"/>
    <n v="14112"/>
    <n v="13588"/>
    <n v="272"/>
    <s v="FashionUpgrade"/>
    <s v="#FashionDeals"/>
    <s v="NULL"/>
    <n v="0.1441326530612245"/>
  </r>
  <r>
    <s v="P193"/>
    <x v="3"/>
    <s v="2024-09-11"/>
    <s v="Image"/>
    <s v="Explore the latest image on Myntra! Trendy styles await."/>
    <n v="4858"/>
    <n v="317"/>
    <n v="129"/>
    <n v="53438"/>
    <n v="52687"/>
    <n v="223"/>
    <s v="FashionUpgrade"/>
    <s v="#FashionDeals"/>
    <s v="#MyntraTrend"/>
    <n v="9.9255211647142488E-2"/>
  </r>
  <r>
    <s v="P194"/>
    <x v="2"/>
    <s v="2024-10-02"/>
    <s v="Story"/>
    <s v="Explore the latest story on Myntra! Trendy styles await."/>
    <n v="4350"/>
    <n v="771"/>
    <n v="7"/>
    <n v="60900"/>
    <n v="60592"/>
    <n v="195"/>
    <s v="EndOfSeasonSale"/>
    <s v="#FashionDeals"/>
    <s v="#StyleWithMyntra"/>
    <n v="8.4203612479474554E-2"/>
  </r>
  <r>
    <s v="P197"/>
    <x v="3"/>
    <s v="2024-10-22"/>
    <s v="Reel"/>
    <s v="Explore the latest reel on Myntra! Trendy styles await."/>
    <n v="4782"/>
    <n v="721"/>
    <n v="82"/>
    <n v="86076"/>
    <n v="85339"/>
    <n v="19"/>
    <s v="EndOfSeasonSale"/>
    <s v="#FashionDeals"/>
    <s v="NULL"/>
    <n v="6.4884520656164318E-2"/>
  </r>
  <r>
    <s v="P199"/>
    <x v="2"/>
    <s v="2024-11-30"/>
    <s v="Carousel"/>
    <s v="Explore the latest carousel on Myntra! Trendy styles await."/>
    <n v="2509"/>
    <n v="324"/>
    <n v="171"/>
    <n v="35126"/>
    <n v="34685"/>
    <n v="277"/>
    <s v="EndOfSeasonSale"/>
    <s v="#FashionDeals"/>
    <s v="NULL"/>
    <n v="8.5520696919660646E-2"/>
  </r>
  <r>
    <s v="P204"/>
    <x v="1"/>
    <s v="2025-01-01"/>
    <s v="Carousel"/>
    <s v="Explore the latest carousel on Myntra! Trendy styles await."/>
    <n v="2234"/>
    <n v="653"/>
    <n v="432"/>
    <n v="11170"/>
    <n v="10569"/>
    <n v="198"/>
    <s v="StyleRevolution"/>
    <s v="#FashionDeals"/>
    <s v="#StyleWithMyntra"/>
    <n v="0.29713518352730528"/>
  </r>
  <r>
    <s v="P217"/>
    <x v="0"/>
    <s v="2024-12-03"/>
    <s v="Image"/>
    <s v="Explore the latest image on Myntra! Trendy styles await."/>
    <n v="4606"/>
    <n v="931"/>
    <n v="230"/>
    <n v="92120"/>
    <n v="91440"/>
    <n v="56"/>
    <s v="MyntraFestiveEdit"/>
    <s v="#FashionDeals"/>
    <s v="#MyntraFashion"/>
    <n v="6.2603126356925748E-2"/>
  </r>
  <r>
    <s v="P218"/>
    <x v="0"/>
    <s v="2024-06-11"/>
    <s v="Carousel"/>
    <s v="Explore the latest carousel on Myntra! Trendy styles await."/>
    <n v="1869"/>
    <n v="453"/>
    <n v="490"/>
    <n v="14952"/>
    <n v="14309"/>
    <n v="275"/>
    <s v="FashionUpgrade"/>
    <s v="#FashionDeals"/>
    <s v="#StyleWithMyntra"/>
    <n v="0.18806848582129482"/>
  </r>
  <r>
    <s v="P225"/>
    <x v="3"/>
    <s v="2024-06-20"/>
    <s v="Carousel"/>
    <s v="Explore the latest carousel on Myntra! Trendy styles await."/>
    <n v="4672"/>
    <n v="325"/>
    <n v="32"/>
    <n v="88768"/>
    <n v="87833"/>
    <n v="118"/>
    <s v="MyntraFestiveEdit"/>
    <s v="#FashionDeals"/>
    <s v="#MyntraSale"/>
    <n v="5.6653298485940883E-2"/>
  </r>
  <r>
    <s v="P231"/>
    <x v="1"/>
    <s v="2025-05-01"/>
    <s v="Text"/>
    <s v="Explore the latest text on Myntra! Trendy styles await."/>
    <n v="1430"/>
    <n v="376"/>
    <n v="33"/>
    <n v="21450"/>
    <n v="20509"/>
    <n v="251"/>
    <s v="MyntraFestiveEdit"/>
    <s v="#FashionDeals"/>
    <s v="NULL"/>
    <n v="8.5734265734265735E-2"/>
  </r>
  <r>
    <s v="P233"/>
    <x v="0"/>
    <s v="2025-03-08"/>
    <s v="Image"/>
    <s v="Explore the latest image on Myntra! Trendy styles await."/>
    <n v="2382"/>
    <n v="265"/>
    <n v="134"/>
    <n v="38112"/>
    <n v="37437"/>
    <n v="249"/>
    <s v="EndOfSeasonSale"/>
    <s v="#FashionDeals"/>
    <s v="#MyntraTrend"/>
    <n v="7.2969143576826198E-2"/>
  </r>
  <r>
    <s v="P242"/>
    <x v="0"/>
    <s v="2024-07-07"/>
    <s v="Reel"/>
    <s v="Explore the latest reel on Myntra! Trendy styles await."/>
    <n v="4767"/>
    <n v="190"/>
    <n v="340"/>
    <n v="28602"/>
    <n v="28044"/>
    <n v="210"/>
    <s v="StyleRevolution"/>
    <s v="#FashionDeals"/>
    <s v="NULL"/>
    <n v="0.18519683938186141"/>
  </r>
  <r>
    <s v="P250"/>
    <x v="0"/>
    <s v="2024-06-22"/>
    <s v="Reel"/>
    <s v="Explore the latest reel on Myntra! Trendy styles await."/>
    <n v="3813"/>
    <n v="935"/>
    <n v="274"/>
    <n v="68634"/>
    <n v="68488"/>
    <n v="251"/>
    <s v="FashionUpgrade"/>
    <s v="#FashionDeals"/>
    <s v="#MyntraTrend"/>
    <n v="7.3170731707317069E-2"/>
  </r>
  <r>
    <s v="P251"/>
    <x v="1"/>
    <s v="2025-03-27"/>
    <s v="Carousel"/>
    <s v="Explore the latest carousel on Myntra! Trendy styles await."/>
    <n v="1377"/>
    <n v="796"/>
    <n v="387"/>
    <n v="22032"/>
    <n v="21869"/>
    <n v="189"/>
    <s v="MyntraFestiveEdit"/>
    <s v="#FashionDeals"/>
    <s v="#MyntraFashion"/>
    <n v="0.11619462599854757"/>
  </r>
  <r>
    <s v="P254"/>
    <x v="3"/>
    <s v="2025-01-14"/>
    <s v="Image"/>
    <s v="Explore the latest image on Myntra! Trendy styles await."/>
    <n v="2692"/>
    <n v="115"/>
    <n v="64"/>
    <n v="21536"/>
    <n v="21120"/>
    <n v="224"/>
    <s v="StyleRevolution"/>
    <s v="#FashionDeals"/>
    <s v="#MyntraTrend"/>
    <n v="0.13331166419019316"/>
  </r>
  <r>
    <s v="P256"/>
    <x v="2"/>
    <s v="2024-09-18"/>
    <s v="Carousel"/>
    <s v="Explore the latest carousel on Myntra! Trendy styles await."/>
    <n v="2143"/>
    <n v="12"/>
    <n v="204"/>
    <n v="40717"/>
    <n v="40125"/>
    <n v="248"/>
    <s v="StyleRevolution"/>
    <s v="#FashionDeals"/>
    <s v="#MyntraSale"/>
    <n v="5.7936488444630008E-2"/>
  </r>
  <r>
    <s v="P257"/>
    <x v="0"/>
    <s v="2025-04-06"/>
    <s v="Image"/>
    <s v="Explore the latest image on Myntra! Trendy styles await."/>
    <n v="3090"/>
    <n v="697"/>
    <n v="164"/>
    <n v="49440"/>
    <n v="48524"/>
    <n v="25"/>
    <s v="StyleRevolution"/>
    <s v="#FashionDeals"/>
    <s v="#StyleWithMyntra"/>
    <n v="7.9915048543689318E-2"/>
  </r>
  <r>
    <s v="P259"/>
    <x v="0"/>
    <s v="2025-02-10"/>
    <s v="Text"/>
    <s v="Explore the latest text on Myntra! Trendy styles await."/>
    <n v="562"/>
    <n v="158"/>
    <n v="149"/>
    <n v="3372"/>
    <n v="2940"/>
    <n v="93"/>
    <s v="StyleRevolution"/>
    <s v="#FashionDeals"/>
    <s v="#MyntraSale"/>
    <n v="0.25771055753262156"/>
  </r>
  <r>
    <s v="P270"/>
    <x v="2"/>
    <s v="2025-01-15"/>
    <s v="Reel"/>
    <s v="Explore the latest reel on Myntra! Trendy styles await."/>
    <n v="3774"/>
    <n v="239"/>
    <n v="39"/>
    <n v="60384"/>
    <n v="59490"/>
    <n v="241"/>
    <s v="MyntraFestiveEdit"/>
    <s v="#FashionDeals"/>
    <s v="NULL"/>
    <n v="6.7103868574456813E-2"/>
  </r>
  <r>
    <s v="P271"/>
    <x v="1"/>
    <s v="2024-10-17"/>
    <s v="Video"/>
    <s v="Explore the latest video on Myntra! Trendy styles await."/>
    <n v="3575"/>
    <n v="749"/>
    <n v="111"/>
    <n v="21450"/>
    <n v="20785"/>
    <n v="195"/>
    <s v="MyntraFestiveEdit"/>
    <s v="#FashionDeals"/>
    <s v="NULL"/>
    <n v="0.20675990675990677"/>
  </r>
  <r>
    <s v="P284"/>
    <x v="3"/>
    <s v="2024-09-17"/>
    <s v="Text"/>
    <s v="Explore the latest text on Myntra! Trendy styles await."/>
    <n v="571"/>
    <n v="190"/>
    <n v="352"/>
    <n v="9707"/>
    <n v="9418"/>
    <n v="231"/>
    <s v="EndOfSeasonSale"/>
    <s v="#FashionDeals"/>
    <s v="NULL"/>
    <n v="0.11465952405480581"/>
  </r>
  <r>
    <s v="P285"/>
    <x v="2"/>
    <s v="2024-07-18"/>
    <s v="Text"/>
    <s v="Explore the latest text on Myntra! Trendy styles await."/>
    <n v="4021"/>
    <n v="794"/>
    <n v="77"/>
    <n v="36189"/>
    <n v="35505"/>
    <n v="174"/>
    <s v="FashionUpgrade"/>
    <s v="#FashionDeals"/>
    <s v="#StyleWithMyntra"/>
    <n v="0.13517919809886983"/>
  </r>
  <r>
    <s v="P002"/>
    <x v="3"/>
    <s v="2025-04-03"/>
    <s v="Text"/>
    <s v="Explore the latest text on Myntra! Trendy styles await."/>
    <n v="4054"/>
    <n v="389"/>
    <n v="493"/>
    <n v="64864"/>
    <n v="64383"/>
    <n v="117"/>
    <s v="EndOfSeasonSale"/>
    <s v="#MyntraFashion"/>
    <s v="NULL"/>
    <n v="7.6097681302417369E-2"/>
  </r>
  <r>
    <s v="P003"/>
    <x v="2"/>
    <s v="2025-05-12"/>
    <s v="Reel"/>
    <s v="Explore the latest reel on Myntra! Trendy styles await."/>
    <n v="2795"/>
    <n v="105"/>
    <n v="49"/>
    <n v="53105"/>
    <n v="52307"/>
    <n v="204"/>
    <s v="FashionUpgrade"/>
    <s v="#MyntraFashion"/>
    <s v="#MyntraSale"/>
    <n v="5.5531494209584788E-2"/>
  </r>
  <r>
    <s v="P008"/>
    <x v="2"/>
    <s v="2024-07-13"/>
    <s v="Image"/>
    <s v="Explore the latest image on Myntra! Trendy styles await."/>
    <n v="3929"/>
    <n v="262"/>
    <n v="278"/>
    <n v="43219"/>
    <n v="42841"/>
    <n v="39"/>
    <s v="MyntraFestiveEdit"/>
    <s v="#MyntraFashion"/>
    <s v="#MyntraSale"/>
    <n v="0.10340359564080613"/>
  </r>
  <r>
    <s v="P009"/>
    <x v="0"/>
    <s v="2024-08-30"/>
    <s v="Text"/>
    <s v="Explore the latest text on Myntra! Trendy styles await."/>
    <n v="3784"/>
    <n v="808"/>
    <n v="404"/>
    <n v="56760"/>
    <n v="56343"/>
    <n v="131"/>
    <s v="MyntraFestiveEdit"/>
    <s v="#MyntraFashion"/>
    <s v="#MyntraSale"/>
    <n v="8.8019732205778717E-2"/>
  </r>
  <r>
    <s v="P013"/>
    <x v="2"/>
    <s v="2024-11-18"/>
    <s v="Carousel"/>
    <s v="Explore the latest carousel on Myntra! Trendy styles await."/>
    <n v="1171"/>
    <n v="286"/>
    <n v="231"/>
    <n v="22249"/>
    <n v="21282"/>
    <n v="114"/>
    <s v="StyleRevolution"/>
    <s v="#MyntraFashion"/>
    <s v="NULL"/>
    <n v="7.5868578363072495E-2"/>
  </r>
  <r>
    <s v="P015"/>
    <x v="0"/>
    <s v="2024-10-24"/>
    <s v="Video"/>
    <s v="Explore the latest video on Myntra! Trendy styles await."/>
    <n v="3888"/>
    <n v="604"/>
    <n v="128"/>
    <n v="77760"/>
    <n v="77167"/>
    <n v="20"/>
    <s v="FashionUpgrade"/>
    <s v="#MyntraFashion"/>
    <s v="#FashionDeals"/>
    <n v="5.941358024691358E-2"/>
  </r>
  <r>
    <s v="P020"/>
    <x v="1"/>
    <s v="2024-09-09"/>
    <s v="Carousel"/>
    <s v="Explore the latest carousel on Myntra! Trendy styles await."/>
    <n v="4054"/>
    <n v="488"/>
    <n v="373"/>
    <n v="77026"/>
    <n v="76881"/>
    <n v="25"/>
    <s v="MyntraFestiveEdit"/>
    <s v="#MyntraFashion"/>
    <s v="#MyntraSale"/>
    <n v="6.3809622724794221E-2"/>
  </r>
  <r>
    <s v="P033"/>
    <x v="0"/>
    <s v="2024-08-21"/>
    <s v="Image"/>
    <s v="Explore the latest image on Myntra! Trendy styles await."/>
    <n v="1407"/>
    <n v="400"/>
    <n v="351"/>
    <n v="16884"/>
    <n v="15954"/>
    <n v="113"/>
    <s v="MyntraFestiveEdit"/>
    <s v="#MyntraFashion"/>
    <s v="#FashionDeals"/>
    <n v="0.12781331438047855"/>
  </r>
  <r>
    <s v="P046"/>
    <x v="3"/>
    <s v="2025-05-02"/>
    <s v="Video"/>
    <s v="Explore the latest video on Myntra! Trendy styles await."/>
    <n v="1108"/>
    <n v="177"/>
    <n v="212"/>
    <n v="8864"/>
    <n v="8710"/>
    <n v="97"/>
    <s v="StyleRevolution"/>
    <s v="#MyntraFashion"/>
    <s v="NULL"/>
    <n v="0.16888537906137185"/>
  </r>
  <r>
    <s v="P048"/>
    <x v="3"/>
    <s v="2025-03-11"/>
    <s v="Story"/>
    <s v="Explore the latest story on Myntra! Trendy styles await."/>
    <n v="1950"/>
    <n v="295"/>
    <n v="478"/>
    <n v="37050"/>
    <n v="36272"/>
    <n v="119"/>
    <s v="StyleRevolution"/>
    <s v="#MyntraFashion"/>
    <s v="#StyleWithMyntra"/>
    <n v="7.349527665317139E-2"/>
  </r>
  <r>
    <s v="P050"/>
    <x v="2"/>
    <s v="2024-07-03"/>
    <s v="Story"/>
    <s v="Explore the latest story on Myntra! Trendy styles await."/>
    <n v="2754"/>
    <n v="130"/>
    <n v="90"/>
    <n v="22032"/>
    <n v="21288"/>
    <n v="112"/>
    <s v="FashionUpgrade"/>
    <s v="#MyntraFashion"/>
    <s v="NULL"/>
    <n v="0.13498547567175018"/>
  </r>
  <r>
    <s v="P052"/>
    <x v="0"/>
    <s v="2025-01-03"/>
    <s v="Image"/>
    <s v="Explore the latest image on Myntra! Trendy styles await."/>
    <n v="947"/>
    <n v="338"/>
    <n v="350"/>
    <n v="10417"/>
    <n v="9730"/>
    <n v="34"/>
    <s v="MyntraFestiveEdit"/>
    <s v="#MyntraFashion"/>
    <s v="#MyntraSale"/>
    <n v="0.1569549774407219"/>
  </r>
  <r>
    <s v="P054"/>
    <x v="2"/>
    <s v="2025-03-13"/>
    <s v="Carousel"/>
    <s v="Explore the latest carousel on Myntra! Trendy styles await."/>
    <n v="1686"/>
    <n v="904"/>
    <n v="472"/>
    <n v="18546"/>
    <n v="18171"/>
    <n v="52"/>
    <s v="EndOfSeasonSale"/>
    <s v="#MyntraFashion"/>
    <s v="#FashionDeals"/>
    <n v="0.16510298716704411"/>
  </r>
  <r>
    <s v="P061"/>
    <x v="3"/>
    <s v="2024-09-05"/>
    <s v="Video"/>
    <s v="Explore the latest video on Myntra! Trendy styles await."/>
    <n v="4886"/>
    <n v="983"/>
    <n v="409"/>
    <n v="43974"/>
    <n v="43239"/>
    <n v="65"/>
    <s v="FashionUpgrade"/>
    <s v="#MyntraFashion"/>
    <s v="NULL"/>
    <n v="0.14276618001546368"/>
  </r>
  <r>
    <s v="P066"/>
    <x v="3"/>
    <s v="2024-07-26"/>
    <s v="Carousel"/>
    <s v="Explore the latest carousel on Myntra! Trendy styles await."/>
    <n v="432"/>
    <n v="171"/>
    <n v="280"/>
    <n v="3024"/>
    <n v="2285"/>
    <n v="184"/>
    <s v="MyntraFestiveEdit"/>
    <s v="#MyntraFashion"/>
    <s v="NULL"/>
    <n v="0.29199735449735448"/>
  </r>
  <r>
    <s v="P068"/>
    <x v="1"/>
    <s v="2024-12-08"/>
    <s v="Story"/>
    <s v="Explore the latest story on Myntra! Trendy styles await."/>
    <n v="2610"/>
    <n v="126"/>
    <n v="288"/>
    <n v="15660"/>
    <n v="15145"/>
    <n v="73"/>
    <s v="FashionUpgrade"/>
    <s v="#MyntraFashion"/>
    <s v="NULL"/>
    <n v="0.19310344827586207"/>
  </r>
  <r>
    <s v="P073"/>
    <x v="0"/>
    <s v="2024-10-18"/>
    <s v="Story"/>
    <s v="Explore the latest story on Myntra! Trendy styles await."/>
    <n v="4126"/>
    <n v="426"/>
    <n v="486"/>
    <n v="78394"/>
    <n v="77798"/>
    <n v="88"/>
    <s v="FashionUpgrade"/>
    <s v="#MyntraFashion"/>
    <s v="NULL"/>
    <n v="6.4265122330790625E-2"/>
  </r>
  <r>
    <s v="P074"/>
    <x v="2"/>
    <s v="2024-10-28"/>
    <s v="Reel"/>
    <s v="Explore the latest reel on Myntra! Trendy styles await."/>
    <n v="1855"/>
    <n v="200"/>
    <n v="174"/>
    <n v="16695"/>
    <n v="16330"/>
    <n v="123"/>
    <s v="MyntraFestiveEdit"/>
    <s v="#MyntraFashion"/>
    <s v="NULL"/>
    <n v="0.13351302785265048"/>
  </r>
  <r>
    <s v="P077"/>
    <x v="0"/>
    <s v="2025-03-04"/>
    <s v="Story"/>
    <s v="Explore the latest story on Myntra! Trendy styles await."/>
    <n v="1249"/>
    <n v="116"/>
    <n v="420"/>
    <n v="8743"/>
    <n v="8538"/>
    <n v="63"/>
    <s v="MyntraFestiveEdit"/>
    <s v="#MyntraFashion"/>
    <s v="#FashionDeals"/>
    <n v="0.20416333066453163"/>
  </r>
  <r>
    <s v="P084"/>
    <x v="0"/>
    <s v="2024-12-09"/>
    <s v="Image"/>
    <s v="Explore the latest image on Myntra! Trendy styles await."/>
    <n v="1841"/>
    <n v="851"/>
    <n v="342"/>
    <n v="34979"/>
    <n v="34154"/>
    <n v="255"/>
    <s v="FashionUpgrade"/>
    <s v="#MyntraFashion"/>
    <s v="#FashionDeals"/>
    <n v="8.6737756939878216E-2"/>
  </r>
  <r>
    <s v="P085"/>
    <x v="1"/>
    <s v="2025-04-19"/>
    <s v="Image"/>
    <s v="Explore the latest image on Myntra! Trendy styles await."/>
    <n v="4177"/>
    <n v="569"/>
    <n v="55"/>
    <n v="25062"/>
    <n v="24847"/>
    <n v="230"/>
    <s v="FashionUpgrade"/>
    <s v="#MyntraFashion"/>
    <s v="NULL"/>
    <n v="0.19156491900087783"/>
  </r>
  <r>
    <s v="P088"/>
    <x v="0"/>
    <s v="2024-07-07"/>
    <s v="Story"/>
    <s v="Explore the latest story on Myntra! Trendy styles await."/>
    <n v="302"/>
    <n v="47"/>
    <n v="430"/>
    <n v="5738"/>
    <n v="4890"/>
    <n v="25"/>
    <s v="EndOfSeasonSale"/>
    <s v="#MyntraFashion"/>
    <s v="#MyntraSale"/>
    <n v="0.13576158940397351"/>
  </r>
  <r>
    <s v="P090"/>
    <x v="1"/>
    <s v="2024-06-03"/>
    <s v="Image"/>
    <s v="Explore the latest image on Myntra! Trendy styles await."/>
    <n v="3861"/>
    <n v="960"/>
    <n v="101"/>
    <n v="69498"/>
    <n v="68817"/>
    <n v="297"/>
    <s v="EndOfSeasonSale"/>
    <s v="#MyntraFashion"/>
    <s v="NULL"/>
    <n v="7.0822181933293038E-2"/>
  </r>
  <r>
    <s v="P106"/>
    <x v="1"/>
    <s v="2025-02-04"/>
    <s v="Image"/>
    <s v="Explore the latest image on Myntra! Trendy styles await."/>
    <n v="4619"/>
    <n v="821"/>
    <n v="499"/>
    <n v="69285"/>
    <n v="69141"/>
    <n v="298"/>
    <s v="FashionUpgrade"/>
    <s v="#MyntraFashion"/>
    <s v="NULL"/>
    <n v="8.5718409468138843E-2"/>
  </r>
  <r>
    <s v="P109"/>
    <x v="3"/>
    <s v="2024-08-08"/>
    <s v="Story"/>
    <s v="Explore the latest story on Myntra! Trendy styles await."/>
    <n v="3649"/>
    <n v="215"/>
    <n v="413"/>
    <n v="25543"/>
    <n v="24963"/>
    <n v="167"/>
    <s v="FashionUpgrade"/>
    <s v="#MyntraFashion"/>
    <s v="#StyleWithMyntra"/>
    <n v="0.16744313510550835"/>
  </r>
  <r>
    <s v="P111"/>
    <x v="2"/>
    <s v="2024-11-23"/>
    <s v="Image"/>
    <s v="Explore the latest image on Myntra! Trendy styles await."/>
    <n v="2719"/>
    <n v="17"/>
    <n v="285"/>
    <n v="40785"/>
    <n v="40281"/>
    <n v="40"/>
    <s v="MyntraFestiveEdit"/>
    <s v="#MyntraFashion"/>
    <s v="#StyleWithMyntra"/>
    <n v="7.4071349760941527E-2"/>
  </r>
  <r>
    <s v="P112"/>
    <x v="3"/>
    <s v="2024-10-05"/>
    <s v="Story"/>
    <s v="Explore the latest story on Myntra! Trendy styles await."/>
    <n v="1957"/>
    <n v="877"/>
    <n v="238"/>
    <n v="17613"/>
    <n v="16865"/>
    <n v="297"/>
    <s v="MyntraFestiveEdit"/>
    <s v="#MyntraFashion"/>
    <s v="#MyntraSale"/>
    <n v="0.17441662408448305"/>
  </r>
  <r>
    <s v="P122"/>
    <x v="1"/>
    <s v="2024-10-02"/>
    <s v="Text"/>
    <s v="Explore the latest text on Myntra! Trendy styles await."/>
    <n v="3432"/>
    <n v="869"/>
    <n v="123"/>
    <n v="54912"/>
    <n v="53916"/>
    <n v="264"/>
    <s v="EndOfSeasonSale"/>
    <s v="#MyntraFashion"/>
    <s v="#MyntraTrend"/>
    <n v="8.0565268065268064E-2"/>
  </r>
  <r>
    <s v="P126"/>
    <x v="1"/>
    <s v="2025-03-28"/>
    <s v="Carousel"/>
    <s v="Explore the latest carousel on Myntra! Trendy styles await."/>
    <n v="4158"/>
    <n v="167"/>
    <n v="241"/>
    <n v="45738"/>
    <n v="45183"/>
    <n v="142"/>
    <s v="EndOfSeasonSale"/>
    <s v="#MyntraFashion"/>
    <s v="NULL"/>
    <n v="9.9829463465827106E-2"/>
  </r>
  <r>
    <s v="P132"/>
    <x v="1"/>
    <s v="2025-03-04"/>
    <s v="Story"/>
    <s v="Explore the latest story on Myntra! Trendy styles await."/>
    <n v="1947"/>
    <n v="842"/>
    <n v="101"/>
    <n v="21417"/>
    <n v="20967"/>
    <n v="186"/>
    <s v="EndOfSeasonSale"/>
    <s v="#MyntraFashion"/>
    <s v="NULL"/>
    <n v="0.13493953401503478"/>
  </r>
  <r>
    <s v="P138"/>
    <x v="3"/>
    <s v="2025-03-29"/>
    <s v="Image"/>
    <s v="Explore the latest image on Myntra! Trendy styles await."/>
    <n v="305"/>
    <n v="187"/>
    <n v="243"/>
    <n v="4575"/>
    <n v="3704"/>
    <n v="234"/>
    <s v="StyleRevolution"/>
    <s v="#MyntraFashion"/>
    <s v="#MyntraTrend"/>
    <n v="0.16065573770491803"/>
  </r>
  <r>
    <s v="P139"/>
    <x v="2"/>
    <s v="2024-10-29"/>
    <s v="Text"/>
    <s v="Explore the latest text on Myntra! Trendy styles await."/>
    <n v="2746"/>
    <n v="156"/>
    <n v="203"/>
    <n v="32952"/>
    <n v="32147"/>
    <n v="147"/>
    <s v="EndOfSeasonSale"/>
    <s v="#MyntraFashion"/>
    <s v="#StyleWithMyntra"/>
    <n v="9.422796795338674E-2"/>
  </r>
  <r>
    <s v="P143"/>
    <x v="2"/>
    <s v="2024-10-02"/>
    <s v="Carousel"/>
    <s v="Explore the latest carousel on Myntra! Trendy styles await."/>
    <n v="80"/>
    <n v="362"/>
    <n v="80"/>
    <n v="1040"/>
    <n v="349"/>
    <n v="117"/>
    <s v="EndOfSeasonSale"/>
    <s v="#MyntraFashion"/>
    <s v="#StyleWithMyntra"/>
    <n v="0.50192307692307692"/>
  </r>
  <r>
    <s v="P155"/>
    <x v="2"/>
    <s v="2024-12-21"/>
    <s v="Image"/>
    <s v="Explore the latest image on Myntra! Trendy styles await."/>
    <n v="2283"/>
    <n v="210"/>
    <n v="130"/>
    <n v="22830"/>
    <n v="22617"/>
    <n v="143"/>
    <s v="MyntraFestiveEdit"/>
    <s v="#MyntraFashion"/>
    <s v="#StyleWithMyntra"/>
    <n v="0.11489268506351293"/>
  </r>
  <r>
    <s v="P163"/>
    <x v="1"/>
    <s v="2025-04-08"/>
    <s v="Image"/>
    <s v="Explore the latest image on Myntra! Trendy styles await."/>
    <n v="4501"/>
    <n v="375"/>
    <n v="323"/>
    <n v="22505"/>
    <n v="21836"/>
    <n v="132"/>
    <s v="StyleRevolution"/>
    <s v="#MyntraFashion"/>
    <s v="NULL"/>
    <n v="0.23101532992668297"/>
  </r>
  <r>
    <s v="P168"/>
    <x v="0"/>
    <s v="2024-11-12"/>
    <s v="Text"/>
    <s v="Explore the latest text on Myntra! Trendy styles await."/>
    <n v="2418"/>
    <n v="754"/>
    <n v="54"/>
    <n v="43524"/>
    <n v="42743"/>
    <n v="182"/>
    <s v="StyleRevolution"/>
    <s v="#MyntraFashion"/>
    <s v="#MyntraTrend"/>
    <n v="7.412002573292896E-2"/>
  </r>
  <r>
    <s v="P172"/>
    <x v="0"/>
    <s v="2024-08-14"/>
    <s v="Carousel"/>
    <s v="Explore the latest carousel on Myntra! Trendy styles await."/>
    <n v="3073"/>
    <n v="553"/>
    <n v="174"/>
    <n v="52241"/>
    <n v="51605"/>
    <n v="246"/>
    <s v="StyleRevolution"/>
    <s v="#MyntraFashion"/>
    <s v="#StyleWithMyntra"/>
    <n v="7.2739802071170159E-2"/>
  </r>
  <r>
    <s v="P176"/>
    <x v="0"/>
    <s v="2024-06-20"/>
    <s v="Video"/>
    <s v="Explore the latest video on Myntra! Trendy styles await."/>
    <n v="3798"/>
    <n v="31"/>
    <n v="279"/>
    <n v="75960"/>
    <n v="75813"/>
    <n v="266"/>
    <s v="EndOfSeasonSale"/>
    <s v="#MyntraFashion"/>
    <s v="NULL"/>
    <n v="5.4081095313322801E-2"/>
  </r>
  <r>
    <s v="P191"/>
    <x v="2"/>
    <s v="2024-12-03"/>
    <s v="Story"/>
    <s v="Explore the latest story on Myntra! Trendy styles await."/>
    <n v="4285"/>
    <n v="886"/>
    <n v="376"/>
    <n v="55705"/>
    <n v="55556"/>
    <n v="51"/>
    <s v="StyleRevolution"/>
    <s v="#MyntraFashion"/>
    <s v="#FashionDeals"/>
    <n v="9.9578134817341346E-2"/>
  </r>
  <r>
    <s v="P195"/>
    <x v="1"/>
    <s v="2024-08-15"/>
    <s v="Carousel"/>
    <s v="Explore the latest carousel on Myntra! Trendy styles await."/>
    <n v="914"/>
    <n v="464"/>
    <n v="246"/>
    <n v="11882"/>
    <n v="11500"/>
    <n v="282"/>
    <s v="MyntraFestiveEdit"/>
    <s v="#MyntraFashion"/>
    <s v="#MyntraTrend"/>
    <n v="0.13667732704931829"/>
  </r>
  <r>
    <s v="P206"/>
    <x v="3"/>
    <s v="2024-06-24"/>
    <s v="Text"/>
    <s v="Explore the latest text on Myntra! Trendy styles await."/>
    <n v="941"/>
    <n v="121"/>
    <n v="458"/>
    <n v="14115"/>
    <n v="13838"/>
    <n v="87"/>
    <s v="EndOfSeasonSale"/>
    <s v="#MyntraFashion"/>
    <s v="#MyntraSale"/>
    <n v="0.10768685795253277"/>
  </r>
  <r>
    <s v="P232"/>
    <x v="3"/>
    <s v="2025-04-29"/>
    <s v="Story"/>
    <s v="Explore the latest story on Myntra! Trendy styles await."/>
    <n v="249"/>
    <n v="592"/>
    <n v="230"/>
    <n v="1494"/>
    <n v="1044"/>
    <n v="201"/>
    <s v="StyleRevolution"/>
    <s v="#MyntraFashion"/>
    <s v="#MyntraTrend"/>
    <n v="0.7168674698795181"/>
  </r>
  <r>
    <s v="P234"/>
    <x v="0"/>
    <s v="2024-06-01"/>
    <s v="Text"/>
    <s v="Explore the latest text on Myntra! Trendy styles await."/>
    <n v="1272"/>
    <n v="465"/>
    <n v="99"/>
    <n v="24168"/>
    <n v="23719"/>
    <n v="42"/>
    <s v="EndOfSeasonSale"/>
    <s v="#MyntraFashion"/>
    <s v="#FashionDeals"/>
    <n v="7.5968222442899705E-2"/>
  </r>
  <r>
    <s v="P240"/>
    <x v="3"/>
    <s v="2024-08-26"/>
    <s v="Carousel"/>
    <s v="Explore the latest carousel on Myntra! Trendy styles await."/>
    <n v="929"/>
    <n v="192"/>
    <n v="322"/>
    <n v="16722"/>
    <n v="15996"/>
    <n v="145"/>
    <s v="MyntraFestiveEdit"/>
    <s v="#MyntraFashion"/>
    <s v="NULL"/>
    <n v="8.6293505561535699E-2"/>
  </r>
  <r>
    <s v="P245"/>
    <x v="0"/>
    <s v="2025-01-12"/>
    <s v="Reel"/>
    <s v="Explore the latest reel on Myntra! Trendy styles await."/>
    <n v="4134"/>
    <n v="824"/>
    <n v="99"/>
    <n v="41340"/>
    <n v="41050"/>
    <n v="177"/>
    <s v="EndOfSeasonSale"/>
    <s v="#MyntraFashion"/>
    <s v="NULL"/>
    <n v="0.12232704402515723"/>
  </r>
  <r>
    <s v="P260"/>
    <x v="1"/>
    <s v="2025-02-12"/>
    <s v="Story"/>
    <s v="Explore the latest story on Myntra! Trendy styles await."/>
    <n v="4332"/>
    <n v="771"/>
    <n v="219"/>
    <n v="60648"/>
    <n v="60397"/>
    <n v="10"/>
    <s v="MyntraFestiveEdit"/>
    <s v="#MyntraFashion"/>
    <s v="NULL"/>
    <n v="8.7752275425405618E-2"/>
  </r>
  <r>
    <s v="P275"/>
    <x v="0"/>
    <s v="2024-08-05"/>
    <s v="Reel"/>
    <s v="Explore the latest reel on Myntra! Trendy styles await."/>
    <n v="1741"/>
    <n v="831"/>
    <n v="345"/>
    <n v="17410"/>
    <n v="16844"/>
    <n v="58"/>
    <s v="StyleRevolution"/>
    <s v="#MyntraFashion"/>
    <s v="#FashionDeals"/>
    <n v="0.16754738655944859"/>
  </r>
  <r>
    <s v="P276"/>
    <x v="3"/>
    <s v="2024-06-07"/>
    <s v="Carousel"/>
    <s v="Explore the latest carousel on Myntra! Trendy styles await."/>
    <n v="1556"/>
    <n v="195"/>
    <n v="131"/>
    <n v="9336"/>
    <n v="8875"/>
    <n v="137"/>
    <s v="EndOfSeasonSale"/>
    <s v="#MyntraFashion"/>
    <s v="NULL"/>
    <n v="0.2015852613538989"/>
  </r>
  <r>
    <s v="P281"/>
    <x v="2"/>
    <s v="2025-03-22"/>
    <s v="Image"/>
    <s v="Explore the latest image on Myntra! Trendy styles await."/>
    <n v="3166"/>
    <n v="90"/>
    <n v="341"/>
    <n v="56988"/>
    <n v="56125"/>
    <n v="135"/>
    <s v="EndOfSeasonSale"/>
    <s v="#MyntraFashion"/>
    <s v="#StyleWithMyntra"/>
    <n v="6.3118551273952411E-2"/>
  </r>
  <r>
    <s v="P286"/>
    <x v="2"/>
    <s v="2024-09-25"/>
    <s v="Video"/>
    <s v="Explore the latest video on Myntra! Trendy styles await."/>
    <n v="3389"/>
    <n v="344"/>
    <n v="229"/>
    <n v="20334"/>
    <n v="19443"/>
    <n v="228"/>
    <s v="EndOfSeasonSale"/>
    <s v="#MyntraFashion"/>
    <s v="#MyntraSale"/>
    <n v="0.19484607062063539"/>
  </r>
  <r>
    <s v="P287"/>
    <x v="1"/>
    <s v="2024-08-15"/>
    <s v="Reel"/>
    <s v="Explore the latest reel on Myntra! Trendy styles await."/>
    <n v="1164"/>
    <n v="616"/>
    <n v="324"/>
    <n v="6984"/>
    <n v="6636"/>
    <n v="82"/>
    <s v="MyntraFestiveEdit"/>
    <s v="#MyntraFashion"/>
    <s v="#MyntraTrend"/>
    <n v="0.30126002290950743"/>
  </r>
  <r>
    <s v="P288"/>
    <x v="2"/>
    <s v="2025-04-17"/>
    <s v="Carousel"/>
    <s v="Explore the latest carousel on Myntra! Trendy styles await."/>
    <n v="4780"/>
    <n v="691"/>
    <n v="380"/>
    <n v="86040"/>
    <n v="85743"/>
    <n v="262"/>
    <s v="MyntraFestiveEdit"/>
    <s v="#MyntraFashion"/>
    <s v="#FashionDeals"/>
    <n v="6.800325430032543E-2"/>
  </r>
  <r>
    <s v="P291"/>
    <x v="0"/>
    <s v="2024-11-06"/>
    <s v="Video"/>
    <s v="Explore the latest video on Myntra! Trendy styles await."/>
    <n v="4663"/>
    <n v="145"/>
    <n v="225"/>
    <n v="69945"/>
    <n v="69596"/>
    <n v="35"/>
    <s v="EndOfSeasonSale"/>
    <s v="#MyntraFashion"/>
    <s v="NULL"/>
    <n v="7.1956537279290869E-2"/>
  </r>
  <r>
    <s v="P296"/>
    <x v="3"/>
    <s v="2025-02-11"/>
    <s v="Video"/>
    <s v="Explore the latest video on Myntra! Trendy styles await."/>
    <n v="3440"/>
    <n v="13"/>
    <n v="20"/>
    <n v="58480"/>
    <n v="58146"/>
    <n v="210"/>
    <s v="FashionUpgrade"/>
    <s v="#MyntraFashion"/>
    <s v="#FashionDeals"/>
    <n v="5.9387824897400819E-2"/>
  </r>
  <r>
    <s v="P300"/>
    <x v="3"/>
    <s v="2024-08-31"/>
    <s v="Carousel"/>
    <s v="Explore the latest carousel on Myntra! Trendy styles await."/>
    <n v="4494"/>
    <n v="717"/>
    <n v="45"/>
    <n v="62916"/>
    <n v="62688"/>
    <n v="191"/>
    <s v="FashionUpgrade"/>
    <s v="#MyntraFashion"/>
    <s v="NULL"/>
    <n v="8.3539958039290485E-2"/>
  </r>
  <r>
    <s v="P001"/>
    <x v="3"/>
    <s v="2024-12-23"/>
    <s v="Reel"/>
    <s v="Explore the latest reel on Myntra! Trendy styles await."/>
    <n v="1461"/>
    <n v="184"/>
    <n v="344"/>
    <n v="21915"/>
    <n v="21675"/>
    <n v="15"/>
    <s v="FashionUpgrade"/>
    <s v="#MyntraSale"/>
    <s v="NULL"/>
    <n v="9.0759753593429152E-2"/>
  </r>
  <r>
    <s v="P004"/>
    <x v="1"/>
    <s v="2024-08-12"/>
    <s v="Story"/>
    <s v="Explore the latest story on Myntra! Trendy styles await."/>
    <n v="2404"/>
    <n v="363"/>
    <n v="138"/>
    <n v="19232"/>
    <n v="18636"/>
    <n v="128"/>
    <s v="FashionUpgrade"/>
    <s v="#MyntraSale"/>
    <s v="NULL"/>
    <n v="0.15105033277870217"/>
  </r>
  <r>
    <s v="P014"/>
    <x v="0"/>
    <s v="2025-02-16"/>
    <s v="Story"/>
    <s v="Explore the latest story on Myntra! Trendy styles await."/>
    <n v="4242"/>
    <n v="555"/>
    <n v="131"/>
    <n v="33936"/>
    <n v="33802"/>
    <n v="265"/>
    <s v="MyntraFestiveEdit"/>
    <s v="#MyntraSale"/>
    <s v="#MyntraFashion"/>
    <n v="0.14521452145214522"/>
  </r>
  <r>
    <s v="P016"/>
    <x v="0"/>
    <s v="2024-08-26"/>
    <s v="Text"/>
    <s v="Explore the latest text on Myntra! Trendy styles await."/>
    <n v="3452"/>
    <n v="377"/>
    <n v="360"/>
    <n v="55232"/>
    <n v="55075"/>
    <n v="87"/>
    <s v="MyntraFestiveEdit"/>
    <s v="#MyntraSale"/>
    <s v="#FashionDeals"/>
    <n v="7.5843713789107758E-2"/>
  </r>
  <r>
    <s v="P019"/>
    <x v="1"/>
    <s v="2024-06-23"/>
    <s v="Video"/>
    <s v="Explore the latest video on Myntra! Trendy styles await."/>
    <n v="1071"/>
    <n v="519"/>
    <n v="22"/>
    <n v="16065"/>
    <n v="15865"/>
    <n v="103"/>
    <s v="MyntraFestiveEdit"/>
    <s v="#MyntraSale"/>
    <s v="#StyleWithMyntra"/>
    <n v="0.10034235916588857"/>
  </r>
  <r>
    <s v="P022"/>
    <x v="0"/>
    <s v="2025-02-27"/>
    <s v="Text"/>
    <s v="Explore the latest text on Myntra! Trendy styles await."/>
    <n v="1570"/>
    <n v="187"/>
    <n v="260"/>
    <n v="25120"/>
    <n v="24613"/>
    <n v="133"/>
    <s v="StyleRevolution"/>
    <s v="#MyntraSale"/>
    <s v="NULL"/>
    <n v="8.0294585987261149E-2"/>
  </r>
  <r>
    <s v="P023"/>
    <x v="0"/>
    <s v="2024-11-06"/>
    <s v="Video"/>
    <s v="Explore the latest video on Myntra! Trendy styles await."/>
    <n v="1606"/>
    <n v="547"/>
    <n v="316"/>
    <n v="32120"/>
    <n v="31736"/>
    <n v="225"/>
    <s v="MyntraFestiveEdit"/>
    <s v="#MyntraSale"/>
    <s v="NULL"/>
    <n v="7.6867995018679955E-2"/>
  </r>
  <r>
    <s v="P026"/>
    <x v="2"/>
    <s v="2025-04-05"/>
    <s v="Reel"/>
    <s v="Explore the latest reel on Myntra! Trendy styles await."/>
    <n v="3009"/>
    <n v="413"/>
    <n v="358"/>
    <n v="42126"/>
    <n v="41309"/>
    <n v="211"/>
    <s v="EndOfSeasonSale"/>
    <s v="#MyntraSale"/>
    <s v="NULL"/>
    <n v="8.9730807577268201E-2"/>
  </r>
  <r>
    <s v="P028"/>
    <x v="1"/>
    <s v="2025-03-04"/>
    <s v="Video"/>
    <s v="Explore the latest video on Myntra! Trendy styles await."/>
    <n v="432"/>
    <n v="624"/>
    <n v="123"/>
    <n v="6912"/>
    <n v="6259"/>
    <n v="79"/>
    <s v="EndOfSeasonSale"/>
    <s v="#MyntraSale"/>
    <s v="#MyntraTrend"/>
    <n v="0.17057291666666666"/>
  </r>
  <r>
    <s v="P030"/>
    <x v="1"/>
    <s v="2025-02-25"/>
    <s v="Video"/>
    <s v="Explore the latest video on Myntra! Trendy styles await."/>
    <n v="3095"/>
    <n v="39"/>
    <n v="78"/>
    <n v="55710"/>
    <n v="54808"/>
    <n v="93"/>
    <s v="StyleRevolution"/>
    <s v="#MyntraSale"/>
    <s v="NULL"/>
    <n v="5.7655717106444085E-2"/>
  </r>
  <r>
    <s v="P037"/>
    <x v="0"/>
    <s v="2025-01-06"/>
    <s v="Carousel"/>
    <s v="Explore the latest carousel on Myntra! Trendy styles await."/>
    <n v="3024"/>
    <n v="925"/>
    <n v="350"/>
    <n v="24192"/>
    <n v="23518"/>
    <n v="36"/>
    <s v="MyntraFestiveEdit"/>
    <s v="#MyntraSale"/>
    <s v="NULL"/>
    <n v="0.17770337301587302"/>
  </r>
  <r>
    <s v="P041"/>
    <x v="1"/>
    <s v="2025-03-08"/>
    <s v="Reel"/>
    <s v="Explore the latest reel on Myntra! Trendy styles await."/>
    <n v="456"/>
    <n v="629"/>
    <n v="428"/>
    <n v="8208"/>
    <n v="7377"/>
    <n v="205"/>
    <s v="MyntraFestiveEdit"/>
    <s v="#MyntraSale"/>
    <s v="#FashionDeals"/>
    <n v="0.18433235867446393"/>
  </r>
  <r>
    <s v="P043"/>
    <x v="1"/>
    <s v="2024-12-14"/>
    <s v="Carousel"/>
    <s v="Explore the latest carousel on Myntra! Trendy styles await."/>
    <n v="2174"/>
    <n v="658"/>
    <n v="15"/>
    <n v="13044"/>
    <n v="12206"/>
    <n v="137"/>
    <s v="StyleRevolution"/>
    <s v="#MyntraSale"/>
    <s v="#MyntraFashion"/>
    <n v="0.21826126954921804"/>
  </r>
  <r>
    <s v="P044"/>
    <x v="3"/>
    <s v="2025-03-02"/>
    <s v="Image"/>
    <s v="Explore the latest image on Myntra! Trendy styles await."/>
    <n v="2358"/>
    <n v="784"/>
    <n v="344"/>
    <n v="35370"/>
    <n v="34475"/>
    <n v="216"/>
    <s v="FashionUpgrade"/>
    <s v="#MyntraSale"/>
    <s v="#StyleWithMyntra"/>
    <n v="9.8558100084817649E-2"/>
  </r>
  <r>
    <s v="P051"/>
    <x v="0"/>
    <s v="2024-06-13"/>
    <s v="Carousel"/>
    <s v="Explore the latest carousel on Myntra! Trendy styles await."/>
    <n v="2200"/>
    <n v="504"/>
    <n v="239"/>
    <n v="37400"/>
    <n v="36938"/>
    <n v="225"/>
    <s v="MyntraFestiveEdit"/>
    <s v="#MyntraSale"/>
    <s v="NULL"/>
    <n v="7.8689839572192513E-2"/>
  </r>
  <r>
    <s v="P055"/>
    <x v="0"/>
    <s v="2024-06-17"/>
    <s v="Image"/>
    <s v="Explore the latest image on Myntra! Trendy styles await."/>
    <n v="1226"/>
    <n v="119"/>
    <n v="7"/>
    <n v="14712"/>
    <n v="14049"/>
    <n v="123"/>
    <s v="StyleRevolution"/>
    <s v="#MyntraSale"/>
    <s v="#MyntraTrend"/>
    <n v="9.1897770527460579E-2"/>
  </r>
  <r>
    <s v="P058"/>
    <x v="1"/>
    <s v="2025-04-15"/>
    <s v="Reel"/>
    <s v="Explore the latest reel on Myntra! Trendy styles await."/>
    <n v="103"/>
    <n v="770"/>
    <n v="19"/>
    <n v="1030"/>
    <n v="410"/>
    <n v="262"/>
    <s v="MyntraFestiveEdit"/>
    <s v="#MyntraSale"/>
    <s v="NULL"/>
    <n v="0.86601941747572819"/>
  </r>
  <r>
    <s v="P063"/>
    <x v="3"/>
    <s v="2024-07-31"/>
    <s v="Carousel"/>
    <s v="Explore the latest carousel on Myntra! Trendy styles await."/>
    <n v="4507"/>
    <n v="217"/>
    <n v="13"/>
    <n v="90140"/>
    <n v="89591"/>
    <n v="125"/>
    <s v="FashionUpgrade"/>
    <s v="#MyntraSale"/>
    <s v="NULL"/>
    <n v="5.2551586421122697E-2"/>
  </r>
  <r>
    <s v="P071"/>
    <x v="2"/>
    <s v="2024-09-02"/>
    <s v="Carousel"/>
    <s v="Explore the latest carousel on Myntra! Trendy styles await."/>
    <n v="2551"/>
    <n v="915"/>
    <n v="205"/>
    <n v="30612"/>
    <n v="30360"/>
    <n v="227"/>
    <s v="EndOfSeasonSale"/>
    <s v="#MyntraSale"/>
    <s v="#FashionDeals"/>
    <n v="0.1199202926956749"/>
  </r>
  <r>
    <s v="P076"/>
    <x v="3"/>
    <s v="2024-11-07"/>
    <s v="Story"/>
    <s v="Explore the latest story on Myntra! Trendy styles await."/>
    <n v="1121"/>
    <n v="135"/>
    <n v="18"/>
    <n v="15694"/>
    <n v="14957"/>
    <n v="99"/>
    <s v="StyleRevolution"/>
    <s v="#MyntraSale"/>
    <s v="#MyntraFashion"/>
    <n v="8.1177520071364848E-2"/>
  </r>
  <r>
    <s v="P079"/>
    <x v="1"/>
    <s v="2024-10-09"/>
    <s v="Carousel"/>
    <s v="Explore the latest carousel on Myntra! Trendy styles await."/>
    <n v="3068"/>
    <n v="137"/>
    <n v="329"/>
    <n v="39884"/>
    <n v="39404"/>
    <n v="266"/>
    <s v="MyntraFestiveEdit"/>
    <s v="#MyntraSale"/>
    <s v="#MyntraTrend"/>
    <n v="8.860696018453515E-2"/>
  </r>
  <r>
    <s v="P089"/>
    <x v="3"/>
    <s v="2025-01-10"/>
    <s v="Image"/>
    <s v="Explore the latest image on Myntra! Trendy styles await."/>
    <n v="2214"/>
    <n v="249"/>
    <n v="152"/>
    <n v="15498"/>
    <n v="14800"/>
    <n v="180"/>
    <s v="EndOfSeasonSale"/>
    <s v="#MyntraSale"/>
    <s v="NULL"/>
    <n v="0.16873144921925409"/>
  </r>
  <r>
    <s v="P091"/>
    <x v="0"/>
    <s v="2025-03-24"/>
    <s v="Image"/>
    <s v="Explore the latest image on Myntra! Trendy styles await."/>
    <n v="1263"/>
    <n v="397"/>
    <n v="357"/>
    <n v="25260"/>
    <n v="24615"/>
    <n v="137"/>
    <s v="EndOfSeasonSale"/>
    <s v="#MyntraSale"/>
    <s v="NULL"/>
    <n v="7.984956452889945E-2"/>
  </r>
  <r>
    <s v="P101"/>
    <x v="2"/>
    <s v="2024-10-18"/>
    <s v="Video"/>
    <s v="Explore the latest video on Myntra! Trendy styles await."/>
    <n v="4450"/>
    <n v="983"/>
    <n v="143"/>
    <n v="75650"/>
    <n v="75008"/>
    <n v="12"/>
    <s v="EndOfSeasonSale"/>
    <s v="#MyntraSale"/>
    <s v="#StyleWithMyntra"/>
    <n v="7.3707865168539333E-2"/>
  </r>
  <r>
    <s v="P107"/>
    <x v="2"/>
    <s v="2024-06-21"/>
    <s v="Image"/>
    <s v="Explore the latest image on Myntra! Trendy styles await."/>
    <n v="4832"/>
    <n v="893"/>
    <n v="10"/>
    <n v="91808"/>
    <n v="91296"/>
    <n v="182"/>
    <s v="MyntraFestiveEdit"/>
    <s v="#MyntraSale"/>
    <s v="#StyleWithMyntra"/>
    <n v="6.2467323109097243E-2"/>
  </r>
  <r>
    <s v="P115"/>
    <x v="3"/>
    <s v="2025-05-11"/>
    <s v="Image"/>
    <s v="Explore the latest image on Myntra! Trendy styles await."/>
    <n v="2493"/>
    <n v="97"/>
    <n v="44"/>
    <n v="42381"/>
    <n v="41991"/>
    <n v="242"/>
    <s v="FashionUpgrade"/>
    <s v="#MyntraSale"/>
    <s v="#StyleWithMyntra"/>
    <n v="6.2150491965739366E-2"/>
  </r>
  <r>
    <s v="P117"/>
    <x v="3"/>
    <s v="2024-11-04"/>
    <s v="Image"/>
    <s v="Explore the latest image on Myntra! Trendy styles await."/>
    <n v="1606"/>
    <n v="451"/>
    <n v="405"/>
    <n v="20878"/>
    <n v="20190"/>
    <n v="219"/>
    <s v="EndOfSeasonSale"/>
    <s v="#MyntraSale"/>
    <s v="#StyleWithMyntra"/>
    <n v="0.11792317271769326"/>
  </r>
  <r>
    <s v="P120"/>
    <x v="0"/>
    <s v="2024-10-21"/>
    <s v="Story"/>
    <s v="Explore the latest story on Myntra! Trendy styles await."/>
    <n v="780"/>
    <n v="928"/>
    <n v="301"/>
    <n v="8580"/>
    <n v="8081"/>
    <n v="91"/>
    <s v="StyleRevolution"/>
    <s v="#MyntraSale"/>
    <s v="#MyntraFashion"/>
    <n v="0.23414918414918415"/>
  </r>
  <r>
    <s v="P123"/>
    <x v="1"/>
    <s v="2024-06-14"/>
    <s v="Story"/>
    <s v="Explore the latest story on Myntra! Trendy styles await."/>
    <n v="4363"/>
    <n v="649"/>
    <n v="140"/>
    <n v="21815"/>
    <n v="21481"/>
    <n v="157"/>
    <s v="EndOfSeasonSale"/>
    <s v="#MyntraSale"/>
    <s v="#MyntraFashion"/>
    <n v="0.23616777446710979"/>
  </r>
  <r>
    <s v="P127"/>
    <x v="0"/>
    <s v="2025-01-27"/>
    <s v="Reel"/>
    <s v="Explore the latest reel on Myntra! Trendy styles await."/>
    <n v="3452"/>
    <n v="652"/>
    <n v="442"/>
    <n v="65588"/>
    <n v="65049"/>
    <n v="158"/>
    <s v="FashionUpgrade"/>
    <s v="#MyntraSale"/>
    <s v="#StyleWithMyntra"/>
    <n v="6.9311459413307311E-2"/>
  </r>
  <r>
    <s v="P130"/>
    <x v="2"/>
    <s v="2024-09-29"/>
    <s v="Reel"/>
    <s v="Explore the latest reel on Myntra! Trendy styles await."/>
    <n v="2936"/>
    <n v="439"/>
    <n v="44"/>
    <n v="38168"/>
    <n v="37571"/>
    <n v="22"/>
    <s v="MyntraFestiveEdit"/>
    <s v="#MyntraSale"/>
    <s v="NULL"/>
    <n v="8.9577656675749323E-2"/>
  </r>
  <r>
    <s v="P131"/>
    <x v="1"/>
    <s v="2024-10-21"/>
    <s v="Reel"/>
    <s v="Explore the latest reel on Myntra! Trendy styles await."/>
    <n v="4840"/>
    <n v="658"/>
    <n v="211"/>
    <n v="43560"/>
    <n v="43225"/>
    <n v="57"/>
    <s v="EndOfSeasonSale"/>
    <s v="#MyntraSale"/>
    <s v="#MyntraFashion"/>
    <n v="0.13106060606060607"/>
  </r>
  <r>
    <s v="P133"/>
    <x v="0"/>
    <s v="2025-02-06"/>
    <s v="Image"/>
    <s v="Explore the latest image on Myntra! Trendy styles await."/>
    <n v="2072"/>
    <n v="532"/>
    <n v="71"/>
    <n v="37296"/>
    <n v="36467"/>
    <n v="25"/>
    <s v="MyntraFestiveEdit"/>
    <s v="#MyntraSale"/>
    <s v="NULL"/>
    <n v="7.172350922350923E-2"/>
  </r>
  <r>
    <s v="P136"/>
    <x v="1"/>
    <s v="2024-07-11"/>
    <s v="Text"/>
    <s v="Explore the latest text on Myntra! Trendy styles await."/>
    <n v="3134"/>
    <n v="888"/>
    <n v="444"/>
    <n v="21938"/>
    <n v="21337"/>
    <n v="130"/>
    <s v="StyleRevolution"/>
    <s v="#MyntraSale"/>
    <s v="#MyntraFashion"/>
    <n v="0.20357370772176134"/>
  </r>
  <r>
    <s v="P141"/>
    <x v="3"/>
    <s v="2024-08-31"/>
    <s v="Image"/>
    <s v="Explore the latest image on Myntra! Trendy styles await."/>
    <n v="3170"/>
    <n v="857"/>
    <n v="379"/>
    <n v="19020"/>
    <n v="18559"/>
    <n v="240"/>
    <s v="MyntraFestiveEdit"/>
    <s v="#MyntraSale"/>
    <s v="NULL"/>
    <n v="0.2316508937960042"/>
  </r>
  <r>
    <s v="P142"/>
    <x v="2"/>
    <s v="2025-03-25"/>
    <s v="Story"/>
    <s v="Explore the latest story on Myntra! Trendy styles await."/>
    <n v="2070"/>
    <n v="275"/>
    <n v="386"/>
    <n v="39330"/>
    <n v="38627"/>
    <n v="114"/>
    <s v="StyleRevolution"/>
    <s v="#MyntraSale"/>
    <s v="NULL"/>
    <n v="6.9438087973557078E-2"/>
  </r>
  <r>
    <s v="P147"/>
    <x v="1"/>
    <s v="2024-10-21"/>
    <s v="Reel"/>
    <s v="Explore the latest reel on Myntra! Trendy styles await."/>
    <n v="3256"/>
    <n v="459"/>
    <n v="266"/>
    <n v="26048"/>
    <n v="25529"/>
    <n v="143"/>
    <s v="MyntraFestiveEdit"/>
    <s v="#MyntraSale"/>
    <s v="#StyleWithMyntra"/>
    <n v="0.15283323095823095"/>
  </r>
  <r>
    <s v="P152"/>
    <x v="0"/>
    <s v="2025-04-22"/>
    <s v="Image"/>
    <s v="Explore the latest image on Myntra! Trendy styles await."/>
    <n v="4804"/>
    <n v="550"/>
    <n v="270"/>
    <n v="28824"/>
    <n v="28370"/>
    <n v="47"/>
    <s v="StyleRevolution"/>
    <s v="#MyntraSale"/>
    <s v="#StyleWithMyntra"/>
    <n v="0.19511518179295032"/>
  </r>
  <r>
    <s v="P154"/>
    <x v="1"/>
    <s v="2024-10-09"/>
    <s v="Carousel"/>
    <s v="Explore the latest carousel on Myntra! Trendy styles await."/>
    <n v="985"/>
    <n v="932"/>
    <n v="287"/>
    <n v="6895"/>
    <n v="6757"/>
    <n v="64"/>
    <s v="EndOfSeasonSale"/>
    <s v="#MyntraSale"/>
    <s v="#MyntraFashion"/>
    <n v="0.31965192168237855"/>
  </r>
  <r>
    <s v="P161"/>
    <x v="3"/>
    <s v="2025-02-19"/>
    <s v="Text"/>
    <s v="Explore the latest text on Myntra! Trendy styles await."/>
    <n v="4671"/>
    <n v="876"/>
    <n v="366"/>
    <n v="51381"/>
    <n v="50565"/>
    <n v="245"/>
    <s v="EndOfSeasonSale"/>
    <s v="#MyntraSale"/>
    <s v="NULL"/>
    <n v="0.11508145034156594"/>
  </r>
  <r>
    <s v="P167"/>
    <x v="1"/>
    <s v="2024-11-28"/>
    <s v="Text"/>
    <s v="Explore the latest text on Myntra! Trendy styles await."/>
    <n v="4771"/>
    <n v="818"/>
    <n v="56"/>
    <n v="57252"/>
    <n v="56378"/>
    <n v="150"/>
    <s v="EndOfSeasonSale"/>
    <s v="#MyntraSale"/>
    <s v="NULL"/>
    <n v="9.859917557465242E-2"/>
  </r>
  <r>
    <s v="P171"/>
    <x v="2"/>
    <s v="2024-12-31"/>
    <s v="Video"/>
    <s v="Explore the latest video on Myntra! Trendy styles await."/>
    <n v="1018"/>
    <n v="447"/>
    <n v="332"/>
    <n v="18324"/>
    <n v="18164"/>
    <n v="38"/>
    <s v="StyleRevolution"/>
    <s v="#MyntraSale"/>
    <s v="#MyntraFashion"/>
    <n v="9.8068107400130972E-2"/>
  </r>
  <r>
    <s v="P174"/>
    <x v="0"/>
    <s v="2024-06-22"/>
    <s v="Text"/>
    <s v="Explore the latest text on Myntra! Trendy styles await."/>
    <n v="3828"/>
    <n v="148"/>
    <n v="253"/>
    <n v="30624"/>
    <n v="30229"/>
    <n v="235"/>
    <s v="StyleRevolution"/>
    <s v="#MyntraSale"/>
    <s v="#StyleWithMyntra"/>
    <n v="0.13809430512016718"/>
  </r>
  <r>
    <s v="P175"/>
    <x v="1"/>
    <s v="2025-01-17"/>
    <s v="Reel"/>
    <s v="Explore the latest reel on Myntra! Trendy styles await."/>
    <n v="142"/>
    <n v="784"/>
    <n v="183"/>
    <n v="1704"/>
    <n v="995"/>
    <n v="154"/>
    <s v="FashionUpgrade"/>
    <s v="#MyntraSale"/>
    <s v="NULL"/>
    <n v="0.6508215962441315"/>
  </r>
  <r>
    <s v="P181"/>
    <x v="2"/>
    <s v="2025-03-21"/>
    <s v="Image"/>
    <s v="Explore the latest image on Myntra! Trendy styles await."/>
    <n v="606"/>
    <n v="789"/>
    <n v="470"/>
    <n v="7878"/>
    <n v="7389"/>
    <n v="239"/>
    <s v="EndOfSeasonSale"/>
    <s v="#MyntraSale"/>
    <s v="NULL"/>
    <n v="0.23673521198273673"/>
  </r>
  <r>
    <s v="P185"/>
    <x v="1"/>
    <s v="2025-01-11"/>
    <s v="Carousel"/>
    <s v="Explore the latest carousel on Myntra! Trendy styles await."/>
    <n v="4523"/>
    <n v="61"/>
    <n v="157"/>
    <n v="49753"/>
    <n v="49329"/>
    <n v="71"/>
    <s v="StyleRevolution"/>
    <s v="#MyntraSale"/>
    <s v="#MyntraTrend"/>
    <n v="9.5290736237010829E-2"/>
  </r>
  <r>
    <s v="P187"/>
    <x v="3"/>
    <s v="2024-12-22"/>
    <s v="Reel"/>
    <s v="Explore the latest reel on Myntra! Trendy styles await."/>
    <n v="1644"/>
    <n v="546"/>
    <n v="150"/>
    <n v="27948"/>
    <n v="27184"/>
    <n v="300"/>
    <s v="FashionUpgrade"/>
    <s v="#MyntraSale"/>
    <s v="#MyntraTrend"/>
    <n v="8.3726921425504502E-2"/>
  </r>
  <r>
    <s v="P188"/>
    <x v="2"/>
    <s v="2024-06-06"/>
    <s v="Reel"/>
    <s v="Explore the latest reel on Myntra! Trendy styles await."/>
    <n v="2728"/>
    <n v="533"/>
    <n v="215"/>
    <n v="40920"/>
    <n v="40816"/>
    <n v="137"/>
    <s v="EndOfSeasonSale"/>
    <s v="#MyntraSale"/>
    <s v="NULL"/>
    <n v="8.4946236559139784E-2"/>
  </r>
  <r>
    <s v="P189"/>
    <x v="0"/>
    <s v="2025-03-24"/>
    <s v="Reel"/>
    <s v="Explore the latest reel on Myntra! Trendy styles await."/>
    <n v="3360"/>
    <n v="525"/>
    <n v="500"/>
    <n v="60480"/>
    <n v="59610"/>
    <n v="192"/>
    <s v="FashionUpgrade"/>
    <s v="#MyntraSale"/>
    <s v="#StyleWithMyntra"/>
    <n v="7.2503306878306875E-2"/>
  </r>
  <r>
    <s v="P201"/>
    <x v="3"/>
    <s v="2025-01-15"/>
    <s v="Reel"/>
    <s v="Explore the latest reel on Myntra! Trendy styles await."/>
    <n v="802"/>
    <n v="262"/>
    <n v="244"/>
    <n v="14436"/>
    <n v="14280"/>
    <n v="49"/>
    <s v="StyleRevolution"/>
    <s v="#MyntraSale"/>
    <s v="#FashionDeals"/>
    <n v="9.0606816292601824E-2"/>
  </r>
  <r>
    <s v="P213"/>
    <x v="0"/>
    <s v="2025-05-01"/>
    <s v="Carousel"/>
    <s v="Explore the latest carousel on Myntra! Trendy styles await."/>
    <n v="2696"/>
    <n v="628"/>
    <n v="443"/>
    <n v="45832"/>
    <n v="45632"/>
    <n v="248"/>
    <s v="MyntraFestiveEdit"/>
    <s v="#MyntraSale"/>
    <s v="NULL"/>
    <n v="8.21914819340199E-2"/>
  </r>
  <r>
    <s v="P214"/>
    <x v="1"/>
    <s v="2024-12-23"/>
    <s v="Image"/>
    <s v="Explore the latest image on Myntra! Trendy styles await."/>
    <n v="521"/>
    <n v="746"/>
    <n v="315"/>
    <n v="4168"/>
    <n v="3399"/>
    <n v="282"/>
    <s v="FashionUpgrade"/>
    <s v="#MyntraSale"/>
    <s v="NULL"/>
    <n v="0.37955854126679461"/>
  </r>
  <r>
    <s v="P215"/>
    <x v="0"/>
    <s v="2025-05-06"/>
    <s v="Image"/>
    <s v="Explore the latest image on Myntra! Trendy styles await."/>
    <n v="4872"/>
    <n v="925"/>
    <n v="176"/>
    <n v="82824"/>
    <n v="82543"/>
    <n v="89"/>
    <s v="FashionUpgrade"/>
    <s v="#MyntraSale"/>
    <s v="#MyntraTrend"/>
    <n v="7.2116777745580993E-2"/>
  </r>
  <r>
    <s v="P224"/>
    <x v="0"/>
    <s v="2025-05-13"/>
    <s v="Image"/>
    <s v="Explore the latest image on Myntra! Trendy styles await."/>
    <n v="602"/>
    <n v="594"/>
    <n v="156"/>
    <n v="4214"/>
    <n v="3363"/>
    <n v="164"/>
    <s v="MyntraFestiveEdit"/>
    <s v="#MyntraSale"/>
    <s v="NULL"/>
    <n v="0.32083531086853345"/>
  </r>
  <r>
    <s v="P226"/>
    <x v="1"/>
    <s v="2024-08-07"/>
    <s v="Carousel"/>
    <s v="Explore the latest carousel on Myntra! Trendy styles await."/>
    <n v="1741"/>
    <n v="164"/>
    <n v="318"/>
    <n v="8705"/>
    <n v="8272"/>
    <n v="121"/>
    <s v="EndOfSeasonSale"/>
    <s v="#MyntraSale"/>
    <s v="NULL"/>
    <n v="0.25537047673750718"/>
  </r>
  <r>
    <s v="P230"/>
    <x v="0"/>
    <s v="2024-07-15"/>
    <s v="Reel"/>
    <s v="Explore the latest reel on Myntra! Trendy styles await."/>
    <n v="3663"/>
    <n v="17"/>
    <n v="295"/>
    <n v="51282"/>
    <n v="50567"/>
    <n v="84"/>
    <s v="FashionUpgrade"/>
    <s v="#MyntraSale"/>
    <s v="NULL"/>
    <n v="7.7512577512577507E-2"/>
  </r>
  <r>
    <s v="P237"/>
    <x v="1"/>
    <s v="2024-10-22"/>
    <s v="Story"/>
    <s v="Explore the latest story on Myntra! Trendy styles await."/>
    <n v="3770"/>
    <n v="917"/>
    <n v="129"/>
    <n v="71630"/>
    <n v="71322"/>
    <n v="76"/>
    <s v="StyleRevolution"/>
    <s v="#MyntraSale"/>
    <s v="#MyntraTrend"/>
    <n v="6.7234398994834563E-2"/>
  </r>
  <r>
    <s v="P241"/>
    <x v="0"/>
    <s v="2025-01-18"/>
    <s v="Story"/>
    <s v="Explore the latest story on Myntra! Trendy styles await."/>
    <n v="4321"/>
    <n v="874"/>
    <n v="172"/>
    <n v="30247"/>
    <n v="29254"/>
    <n v="122"/>
    <s v="MyntraFestiveEdit"/>
    <s v="#MyntraSale"/>
    <s v="#MyntraFashion"/>
    <n v="0.17743908486792079"/>
  </r>
  <r>
    <s v="P246"/>
    <x v="0"/>
    <s v="2024-10-11"/>
    <s v="Image"/>
    <s v="Explore the latest image on Myntra! Trendy styles await."/>
    <n v="400"/>
    <n v="680"/>
    <n v="434"/>
    <n v="6400"/>
    <n v="5472"/>
    <n v="160"/>
    <s v="EndOfSeasonSale"/>
    <s v="#MyntraSale"/>
    <s v="#MyntraTrend"/>
    <n v="0.23656250000000001"/>
  </r>
  <r>
    <s v="P248"/>
    <x v="0"/>
    <s v="2025-02-02"/>
    <s v="Story"/>
    <s v="Explore the latest story on Myntra! Trendy styles await."/>
    <n v="886"/>
    <n v="126"/>
    <n v="153"/>
    <n v="4430"/>
    <n v="4037"/>
    <n v="212"/>
    <s v="MyntraFestiveEdit"/>
    <s v="#MyntraSale"/>
    <s v="NULL"/>
    <n v="0.26297968397291194"/>
  </r>
  <r>
    <s v="P261"/>
    <x v="1"/>
    <s v="2024-10-27"/>
    <s v="Image"/>
    <s v="Explore the latest image on Myntra! Trendy styles await."/>
    <n v="4853"/>
    <n v="837"/>
    <n v="340"/>
    <n v="72795"/>
    <n v="72237"/>
    <n v="170"/>
    <s v="EndOfSeasonSale"/>
    <s v="#MyntraSale"/>
    <s v="NULL"/>
    <n v="8.2835359571399134E-2"/>
  </r>
  <r>
    <s v="P262"/>
    <x v="2"/>
    <s v="2025-01-18"/>
    <s v="Image"/>
    <s v="Explore the latest image on Myntra! Trendy styles await."/>
    <n v="1206"/>
    <n v="238"/>
    <n v="36"/>
    <n v="9648"/>
    <n v="9417"/>
    <n v="237"/>
    <s v="MyntraFestiveEdit"/>
    <s v="#MyntraSale"/>
    <s v="#StyleWithMyntra"/>
    <n v="0.15339966832504145"/>
  </r>
  <r>
    <s v="P266"/>
    <x v="0"/>
    <s v="2024-11-25"/>
    <s v="Story"/>
    <s v="Explore the latest story on Myntra! Trendy styles await."/>
    <n v="4182"/>
    <n v="640"/>
    <n v="240"/>
    <n v="50184"/>
    <n v="49351"/>
    <n v="10"/>
    <s v="MyntraFestiveEdit"/>
    <s v="#MyntraSale"/>
    <s v="#StyleWithMyntra"/>
    <n v="0.10086880280567512"/>
  </r>
  <r>
    <s v="P272"/>
    <x v="1"/>
    <s v="2025-03-27"/>
    <s v="Text"/>
    <s v="Explore the latest text on Myntra! Trendy styles await."/>
    <n v="4941"/>
    <n v="414"/>
    <n v="266"/>
    <n v="39528"/>
    <n v="39154"/>
    <n v="217"/>
    <s v="EndOfSeasonSale"/>
    <s v="#MyntraSale"/>
    <s v="NULL"/>
    <n v="0.14220299534507186"/>
  </r>
  <r>
    <s v="P282"/>
    <x v="1"/>
    <s v="2024-10-03"/>
    <s v="Video"/>
    <s v="Explore the latest video on Myntra! Trendy styles await."/>
    <n v="1488"/>
    <n v="417"/>
    <n v="168"/>
    <n v="19344"/>
    <n v="18395"/>
    <n v="30"/>
    <s v="FashionUpgrade"/>
    <s v="#MyntraSale"/>
    <s v="NULL"/>
    <n v="0.1071650124069479"/>
  </r>
  <r>
    <s v="P292"/>
    <x v="0"/>
    <s v="2024-11-17"/>
    <s v="Text"/>
    <s v="Explore the latest text on Myntra! Trendy styles await."/>
    <n v="880"/>
    <n v="297"/>
    <n v="345"/>
    <n v="12320"/>
    <n v="11978"/>
    <n v="238"/>
    <s v="EndOfSeasonSale"/>
    <s v="#MyntraSale"/>
    <s v="NULL"/>
    <n v="0.12353896103896105"/>
  </r>
  <r>
    <s v="P295"/>
    <x v="3"/>
    <s v="2025-05-06"/>
    <s v="Image"/>
    <s v="Explore the latest image on Myntra! Trendy styles await."/>
    <n v="1952"/>
    <n v="344"/>
    <n v="287"/>
    <n v="15616"/>
    <n v="15403"/>
    <n v="235"/>
    <s v="MyntraFestiveEdit"/>
    <s v="#MyntraSale"/>
    <s v="#MyntraFashion"/>
    <n v="0.16540727459016394"/>
  </r>
  <r>
    <s v="P298"/>
    <x v="0"/>
    <s v="2024-10-24"/>
    <s v="Image"/>
    <s v="Explore the latest image on Myntra! Trendy styles await."/>
    <n v="4303"/>
    <n v="451"/>
    <n v="286"/>
    <n v="86060"/>
    <n v="85823"/>
    <n v="14"/>
    <s v="EndOfSeasonSale"/>
    <s v="#MyntraSale"/>
    <s v="NULL"/>
    <n v="5.8563792702765516E-2"/>
  </r>
  <r>
    <s v="P299"/>
    <x v="0"/>
    <s v="2024-08-26"/>
    <s v="Image"/>
    <s v="Explore the latest image on Myntra! Trendy styles await."/>
    <n v="2581"/>
    <n v="517"/>
    <n v="117"/>
    <n v="23229"/>
    <n v="22331"/>
    <n v="70"/>
    <s v="EndOfSeasonSale"/>
    <s v="#MyntraSale"/>
    <s v="#StyleWithMyntra"/>
    <n v="0.13840458048129492"/>
  </r>
  <r>
    <s v="P006"/>
    <x v="0"/>
    <s v="2024-10-31"/>
    <s v="Carousel"/>
    <s v="Explore the latest carousel on Myntra! Trendy styles await."/>
    <n v="2945"/>
    <n v="930"/>
    <n v="355"/>
    <n v="23560"/>
    <n v="23275"/>
    <n v="256"/>
    <s v="EndOfSeasonSale"/>
    <s v="#MyntraTrend"/>
    <s v="NULL"/>
    <n v="0.17954159592529711"/>
  </r>
  <r>
    <s v="P007"/>
    <x v="3"/>
    <s v="2024-06-24"/>
    <s v="Carousel"/>
    <s v="Explore the latest carousel on Myntra! Trendy styles await."/>
    <n v="3860"/>
    <n v="201"/>
    <n v="279"/>
    <n v="61760"/>
    <n v="61660"/>
    <n v="235"/>
    <s v="MyntraFestiveEdit"/>
    <s v="#MyntraTrend"/>
    <s v="NULL"/>
    <n v="7.0272020725388601E-2"/>
  </r>
  <r>
    <s v="P010"/>
    <x v="0"/>
    <s v="2025-03-11"/>
    <s v="Image"/>
    <s v="Explore the latest image on Myntra! Trendy styles await."/>
    <n v="4241"/>
    <n v="902"/>
    <n v="47"/>
    <n v="72097"/>
    <n v="71598"/>
    <n v="167"/>
    <s v="StyleRevolution"/>
    <s v="#MyntraTrend"/>
    <s v="NULL"/>
    <n v="7.198635172059864E-2"/>
  </r>
  <r>
    <s v="P024"/>
    <x v="0"/>
    <s v="2025-01-23"/>
    <s v="Video"/>
    <s v="Explore the latest video on Myntra! Trendy styles await."/>
    <n v="3961"/>
    <n v="761"/>
    <n v="131"/>
    <n v="67337"/>
    <n v="66615"/>
    <n v="161"/>
    <s v="EndOfSeasonSale"/>
    <s v="#MyntraTrend"/>
    <s v="NULL"/>
    <n v="7.2070332803659209E-2"/>
  </r>
  <r>
    <s v="P027"/>
    <x v="2"/>
    <s v="2024-09-17"/>
    <s v="Text"/>
    <s v="Explore the latest text on Myntra! Trendy styles await."/>
    <n v="2076"/>
    <n v="195"/>
    <n v="104"/>
    <n v="33216"/>
    <n v="32244"/>
    <n v="51"/>
    <s v="StyleRevolution"/>
    <s v="#MyntraTrend"/>
    <s v="NULL"/>
    <n v="7.1501685934489398E-2"/>
  </r>
  <r>
    <s v="P029"/>
    <x v="1"/>
    <s v="2025-01-31"/>
    <s v="Carousel"/>
    <s v="Explore the latest carousel on Myntra! Trendy styles await."/>
    <n v="2566"/>
    <n v="118"/>
    <n v="37"/>
    <n v="12830"/>
    <n v="12264"/>
    <n v="221"/>
    <s v="MyntraFestiveEdit"/>
    <s v="#MyntraTrend"/>
    <s v="#MyntraFashion"/>
    <n v="0.21208106001558846"/>
  </r>
  <r>
    <s v="P031"/>
    <x v="1"/>
    <s v="2024-12-16"/>
    <s v="Text"/>
    <s v="Explore the latest text on Myntra! Trendy styles await."/>
    <n v="438"/>
    <n v="153"/>
    <n v="275"/>
    <n v="3066"/>
    <n v="2701"/>
    <n v="282"/>
    <s v="StyleRevolution"/>
    <s v="#MyntraTrend"/>
    <s v="NULL"/>
    <n v="0.28245270711024134"/>
  </r>
  <r>
    <s v="P032"/>
    <x v="3"/>
    <s v="2024-07-31"/>
    <s v="Carousel"/>
    <s v="Explore the latest carousel on Myntra! Trendy styles await."/>
    <n v="2278"/>
    <n v="10"/>
    <n v="321"/>
    <n v="13668"/>
    <n v="12676"/>
    <n v="275"/>
    <s v="StyleRevolution"/>
    <s v="#MyntraTrend"/>
    <s v="#MyntraFashion"/>
    <n v="0.19088381621305239"/>
  </r>
  <r>
    <s v="P034"/>
    <x v="0"/>
    <s v="2025-03-26"/>
    <s v="Text"/>
    <s v="Explore the latest text on Myntra! Trendy styles await."/>
    <n v="1652"/>
    <n v="89"/>
    <n v="357"/>
    <n v="29736"/>
    <n v="28771"/>
    <n v="215"/>
    <s v="EndOfSeasonSale"/>
    <s v="#MyntraTrend"/>
    <s v="#FashionDeals"/>
    <n v="7.055421038471886E-2"/>
  </r>
  <r>
    <s v="P070"/>
    <x v="0"/>
    <s v="2025-04-02"/>
    <s v="Video"/>
    <s v="Explore the latest video on Myntra! Trendy styles await."/>
    <n v="199"/>
    <n v="772"/>
    <n v="400"/>
    <n v="3582"/>
    <n v="2988"/>
    <n v="43"/>
    <s v="FashionUpgrade"/>
    <s v="#MyntraTrend"/>
    <s v="NULL"/>
    <n v="0.38274706867671693"/>
  </r>
  <r>
    <s v="P072"/>
    <x v="2"/>
    <s v="2025-03-03"/>
    <s v="Reel"/>
    <s v="Explore the latest reel on Myntra! Trendy styles await."/>
    <n v="296"/>
    <n v="60"/>
    <n v="141"/>
    <n v="5624"/>
    <n v="5239"/>
    <n v="88"/>
    <s v="StyleRevolution"/>
    <s v="#MyntraTrend"/>
    <s v="NULL"/>
    <n v="8.837126600284495E-2"/>
  </r>
  <r>
    <s v="P078"/>
    <x v="3"/>
    <s v="2024-06-17"/>
    <s v="Image"/>
    <s v="Explore the latest image on Myntra! Trendy styles await."/>
    <n v="954"/>
    <n v="324"/>
    <n v="288"/>
    <n v="19080"/>
    <n v="18859"/>
    <n v="21"/>
    <s v="MyntraFestiveEdit"/>
    <s v="#MyntraTrend"/>
    <s v="NULL"/>
    <n v="8.2075471698113203E-2"/>
  </r>
  <r>
    <s v="P081"/>
    <x v="1"/>
    <s v="2024-10-19"/>
    <s v="Story"/>
    <s v="Explore the latest story on Myntra! Trendy styles await."/>
    <n v="1816"/>
    <n v="29"/>
    <n v="41"/>
    <n v="19976"/>
    <n v="19262"/>
    <n v="283"/>
    <s v="MyntraFestiveEdit"/>
    <s v="#MyntraTrend"/>
    <s v="#MyntraSale"/>
    <n v="9.4413295955146179E-2"/>
  </r>
  <r>
    <s v="P082"/>
    <x v="1"/>
    <s v="2024-07-24"/>
    <s v="Image"/>
    <s v="Explore the latest image on Myntra! Trendy styles await."/>
    <n v="725"/>
    <n v="88"/>
    <n v="428"/>
    <n v="14500"/>
    <n v="13637"/>
    <n v="200"/>
    <s v="MyntraFestiveEdit"/>
    <s v="#MyntraTrend"/>
    <s v="NULL"/>
    <n v="8.558620689655172E-2"/>
  </r>
  <r>
    <s v="P083"/>
    <x v="2"/>
    <s v="2024-10-15"/>
    <s v="Video"/>
    <s v="Explore the latest video on Myntra! Trendy styles await."/>
    <n v="1094"/>
    <n v="472"/>
    <n v="21"/>
    <n v="9846"/>
    <n v="9609"/>
    <n v="112"/>
    <s v="MyntraFestiveEdit"/>
    <s v="#MyntraTrend"/>
    <s v="#StyleWithMyntra"/>
    <n v="0.16118220597196831"/>
  </r>
  <r>
    <s v="P086"/>
    <x v="2"/>
    <s v="2025-01-27"/>
    <s v="Text"/>
    <s v="Explore the latest text on Myntra! Trendy styles await."/>
    <n v="3428"/>
    <n v="305"/>
    <n v="85"/>
    <n v="58276"/>
    <n v="58052"/>
    <n v="242"/>
    <s v="MyntraFestiveEdit"/>
    <s v="#MyntraTrend"/>
    <s v="#StyleWithMyntra"/>
    <n v="6.5515821264328367E-2"/>
  </r>
  <r>
    <s v="P087"/>
    <x v="3"/>
    <s v="2024-06-06"/>
    <s v="Video"/>
    <s v="Explore the latest video on Myntra! Trendy styles await."/>
    <n v="1436"/>
    <n v="765"/>
    <n v="496"/>
    <n v="12924"/>
    <n v="12701"/>
    <n v="197"/>
    <s v="EndOfSeasonSale"/>
    <s v="#MyntraTrend"/>
    <s v="#MyntraSale"/>
    <n v="0.20868152274837512"/>
  </r>
  <r>
    <s v="P093"/>
    <x v="1"/>
    <s v="2024-12-11"/>
    <s v="Video"/>
    <s v="Explore the latest video on Myntra! Trendy styles await."/>
    <n v="1431"/>
    <n v="951"/>
    <n v="26"/>
    <n v="8586"/>
    <n v="8396"/>
    <n v="150"/>
    <s v="FashionUpgrade"/>
    <s v="#MyntraTrend"/>
    <s v="#FashionDeals"/>
    <n v="0.28045655718611695"/>
  </r>
  <r>
    <s v="P102"/>
    <x v="3"/>
    <s v="2024-09-18"/>
    <s v="Reel"/>
    <s v="Explore the latest reel on Myntra! Trendy styles await."/>
    <n v="1000"/>
    <n v="978"/>
    <n v="162"/>
    <n v="6000"/>
    <n v="5221"/>
    <n v="223"/>
    <s v="MyntraFestiveEdit"/>
    <s v="#MyntraTrend"/>
    <s v="#MyntraFashion"/>
    <n v="0.35666666666666669"/>
  </r>
  <r>
    <s v="P103"/>
    <x v="0"/>
    <s v="2024-06-11"/>
    <s v="Image"/>
    <s v="Explore the latest image on Myntra! Trendy styles await."/>
    <n v="3689"/>
    <n v="48"/>
    <n v="306"/>
    <n v="40579"/>
    <n v="39588"/>
    <n v="212"/>
    <s v="FashionUpgrade"/>
    <s v="#MyntraTrend"/>
    <s v="NULL"/>
    <n v="9.9632815002833983E-2"/>
  </r>
  <r>
    <s v="P104"/>
    <x v="2"/>
    <s v="2025-03-23"/>
    <s v="Story"/>
    <s v="Explore the latest story on Myntra! Trendy styles await."/>
    <n v="3655"/>
    <n v="568"/>
    <n v="286"/>
    <n v="32895"/>
    <n v="32015"/>
    <n v="199"/>
    <s v="StyleRevolution"/>
    <s v="#MyntraTrend"/>
    <s v="NULL"/>
    <n v="0.13707250341997265"/>
  </r>
  <r>
    <s v="P113"/>
    <x v="3"/>
    <s v="2024-10-02"/>
    <s v="Carousel"/>
    <s v="Explore the latest carousel on Myntra! Trendy styles await."/>
    <n v="4419"/>
    <n v="236"/>
    <n v="369"/>
    <n v="44190"/>
    <n v="43582"/>
    <n v="10"/>
    <s v="StyleRevolution"/>
    <s v="#MyntraTrend"/>
    <s v="NULL"/>
    <n v="0.11369088028965829"/>
  </r>
  <r>
    <s v="P118"/>
    <x v="0"/>
    <s v="2024-11-04"/>
    <s v="Image"/>
    <s v="Explore the latest image on Myntra! Trendy styles await."/>
    <n v="4551"/>
    <n v="714"/>
    <n v="207"/>
    <n v="68265"/>
    <n v="67754"/>
    <n v="57"/>
    <s v="EndOfSeasonSale"/>
    <s v="#MyntraTrend"/>
    <s v="NULL"/>
    <n v="8.0158206987475278E-2"/>
  </r>
  <r>
    <s v="P119"/>
    <x v="1"/>
    <s v="2025-02-07"/>
    <s v="Reel"/>
    <s v="Explore the latest reel on Myntra! Trendy styles await."/>
    <n v="1970"/>
    <n v="675"/>
    <n v="478"/>
    <n v="9850"/>
    <n v="8924"/>
    <n v="117"/>
    <s v="StyleRevolution"/>
    <s v="#MyntraTrend"/>
    <s v="NULL"/>
    <n v="0.31705583756345179"/>
  </r>
  <r>
    <s v="P135"/>
    <x v="0"/>
    <s v="2024-11-28"/>
    <s v="Text"/>
    <s v="Explore the latest text on Myntra! Trendy styles await."/>
    <n v="4213"/>
    <n v="253"/>
    <n v="434"/>
    <n v="75834"/>
    <n v="75437"/>
    <n v="272"/>
    <s v="MyntraFestiveEdit"/>
    <s v="#MyntraTrend"/>
    <s v="NULL"/>
    <n v="6.461481657304112E-2"/>
  </r>
  <r>
    <s v="P144"/>
    <x v="2"/>
    <s v="2024-10-28"/>
    <s v="Story"/>
    <s v="Explore the latest story on Myntra! Trendy styles await."/>
    <n v="4929"/>
    <n v="749"/>
    <n v="452"/>
    <n v="93651"/>
    <n v="92810"/>
    <n v="66"/>
    <s v="FashionUpgrade"/>
    <s v="#MyntraTrend"/>
    <s v="#StyleWithMyntra"/>
    <n v="6.5455787978772245E-2"/>
  </r>
  <r>
    <s v="P149"/>
    <x v="3"/>
    <s v="2024-06-16"/>
    <s v="Video"/>
    <s v="Explore the latest video on Myntra! Trendy styles await."/>
    <n v="1702"/>
    <n v="750"/>
    <n v="179"/>
    <n v="34040"/>
    <n v="33174"/>
    <n v="76"/>
    <s v="MyntraFestiveEdit"/>
    <s v="#MyntraTrend"/>
    <s v="NULL"/>
    <n v="7.7291421856639245E-2"/>
  </r>
  <r>
    <s v="P150"/>
    <x v="2"/>
    <s v="2024-08-22"/>
    <s v="Carousel"/>
    <s v="Explore the latest carousel on Myntra! Trendy styles await."/>
    <n v="4295"/>
    <n v="853"/>
    <n v="325"/>
    <n v="85900"/>
    <n v="85788"/>
    <n v="290"/>
    <s v="EndOfSeasonSale"/>
    <s v="#MyntraTrend"/>
    <s v="#MyntraSale"/>
    <n v="6.3713620488940623E-2"/>
  </r>
  <r>
    <s v="P151"/>
    <x v="1"/>
    <s v="2024-07-26"/>
    <s v="Image"/>
    <s v="Explore the latest image on Myntra! Trendy styles await."/>
    <n v="3559"/>
    <n v="59"/>
    <n v="289"/>
    <n v="35590"/>
    <n v="35105"/>
    <n v="122"/>
    <s v="MyntraFestiveEdit"/>
    <s v="#MyntraTrend"/>
    <s v="#StyleWithMyntra"/>
    <n v="0.10977802753582468"/>
  </r>
  <r>
    <s v="P156"/>
    <x v="0"/>
    <s v="2024-10-22"/>
    <s v="Carousel"/>
    <s v="Explore the latest carousel on Myntra! Trendy styles await."/>
    <n v="3352"/>
    <n v="941"/>
    <n v="482"/>
    <n v="43576"/>
    <n v="43338"/>
    <n v="240"/>
    <s v="MyntraFestiveEdit"/>
    <s v="#MyntraTrend"/>
    <s v="NULL"/>
    <n v="0.1095786671562328"/>
  </r>
  <r>
    <s v="P162"/>
    <x v="0"/>
    <s v="2025-04-01"/>
    <s v="Story"/>
    <s v="Explore the latest story on Myntra! Trendy styles await."/>
    <n v="3430"/>
    <n v="566"/>
    <n v="164"/>
    <n v="48020"/>
    <n v="47305"/>
    <n v="120"/>
    <s v="EndOfSeasonSale"/>
    <s v="#MyntraTrend"/>
    <s v="NULL"/>
    <n v="8.6630570595585168E-2"/>
  </r>
  <r>
    <s v="P165"/>
    <x v="3"/>
    <s v="2024-12-11"/>
    <s v="Text"/>
    <s v="Explore the latest text on Myntra! Trendy styles await."/>
    <n v="3239"/>
    <n v="43"/>
    <n v="211"/>
    <n v="22673"/>
    <n v="22171"/>
    <n v="230"/>
    <s v="EndOfSeasonSale"/>
    <s v="#MyntraTrend"/>
    <s v="#StyleWithMyntra"/>
    <n v="0.15405989502933004"/>
  </r>
  <r>
    <s v="P169"/>
    <x v="2"/>
    <s v="2024-12-03"/>
    <s v="Video"/>
    <s v="Explore the latest video on Myntra! Trendy styles await."/>
    <n v="3809"/>
    <n v="273"/>
    <n v="200"/>
    <n v="34281"/>
    <n v="33534"/>
    <n v="83"/>
    <s v="MyntraFestiveEdit"/>
    <s v="#MyntraTrend"/>
    <s v="NULL"/>
    <n v="0.12490884163239112"/>
  </r>
  <r>
    <s v="P186"/>
    <x v="0"/>
    <s v="2024-08-24"/>
    <s v="Carousel"/>
    <s v="Explore the latest carousel on Myntra! Trendy styles await."/>
    <n v="4292"/>
    <n v="51"/>
    <n v="392"/>
    <n v="55796"/>
    <n v="54826"/>
    <n v="264"/>
    <s v="FashionUpgrade"/>
    <s v="#MyntraTrend"/>
    <s v="#StyleWithMyntra"/>
    <n v="8.4862714173059003E-2"/>
  </r>
  <r>
    <s v="P196"/>
    <x v="1"/>
    <s v="2024-12-19"/>
    <s v="Text"/>
    <s v="Explore the latest text on Myntra! Trendy styles await."/>
    <n v="1813"/>
    <n v="623"/>
    <n v="72"/>
    <n v="19943"/>
    <n v="18959"/>
    <n v="85"/>
    <s v="MyntraFestiveEdit"/>
    <s v="#MyntraTrend"/>
    <s v="#MyntraFashion"/>
    <n v="0.12575841147269717"/>
  </r>
  <r>
    <s v="P198"/>
    <x v="3"/>
    <s v="2024-09-14"/>
    <s v="Image"/>
    <s v="Explore the latest image on Myntra! Trendy styles await."/>
    <n v="1048"/>
    <n v="374"/>
    <n v="450"/>
    <n v="9432"/>
    <n v="8882"/>
    <n v="158"/>
    <s v="EndOfSeasonSale"/>
    <s v="#MyntraTrend"/>
    <s v="#MyntraSale"/>
    <n v="0.19847328244274809"/>
  </r>
  <r>
    <s v="P200"/>
    <x v="0"/>
    <s v="2025-04-07"/>
    <s v="Reel"/>
    <s v="Explore the latest reel on Myntra! Trendy styles await."/>
    <n v="3718"/>
    <n v="385"/>
    <n v="310"/>
    <n v="70642"/>
    <n v="69749"/>
    <n v="233"/>
    <s v="FashionUpgrade"/>
    <s v="#MyntraTrend"/>
    <s v="NULL"/>
    <n v="6.246991874522239E-2"/>
  </r>
  <r>
    <s v="P202"/>
    <x v="0"/>
    <s v="2024-06-02"/>
    <s v="Image"/>
    <s v="Explore the latest image on Myntra! Trendy styles await."/>
    <n v="1871"/>
    <n v="252"/>
    <n v="335"/>
    <n v="29936"/>
    <n v="29576"/>
    <n v="288"/>
    <s v="EndOfSeasonSale"/>
    <s v="#MyntraTrend"/>
    <s v="NULL"/>
    <n v="8.2108498129342594E-2"/>
  </r>
  <r>
    <s v="P203"/>
    <x v="1"/>
    <s v="2024-11-21"/>
    <s v="Carousel"/>
    <s v="Explore the latest carousel on Myntra! Trendy styles await."/>
    <n v="3773"/>
    <n v="299"/>
    <n v="38"/>
    <n v="71687"/>
    <n v="71447"/>
    <n v="286"/>
    <s v="StyleRevolution"/>
    <s v="#MyntraTrend"/>
    <s v="NULL"/>
    <n v="5.7332570758993957E-2"/>
  </r>
  <r>
    <s v="P208"/>
    <x v="2"/>
    <s v="2024-06-24"/>
    <s v="Video"/>
    <s v="Explore the latest video on Myntra! Trendy styles await."/>
    <n v="2949"/>
    <n v="476"/>
    <n v="403"/>
    <n v="44235"/>
    <n v="43705"/>
    <n v="135"/>
    <s v="FashionUpgrade"/>
    <s v="#MyntraTrend"/>
    <s v="#FashionDeals"/>
    <n v="8.6537809426924378E-2"/>
  </r>
  <r>
    <s v="P210"/>
    <x v="2"/>
    <s v="2025-02-19"/>
    <s v="Image"/>
    <s v="Explore the latest image on Myntra! Trendy styles await."/>
    <n v="257"/>
    <n v="966"/>
    <n v="398"/>
    <n v="3341"/>
    <n v="2753"/>
    <n v="287"/>
    <s v="FashionUpgrade"/>
    <s v="#MyntraTrend"/>
    <s v="#MyntraSale"/>
    <n v="0.48518407662376534"/>
  </r>
  <r>
    <s v="P211"/>
    <x v="3"/>
    <s v="2024-07-18"/>
    <s v="Carousel"/>
    <s v="Explore the latest carousel on Myntra! Trendy styles await."/>
    <n v="2120"/>
    <n v="38"/>
    <n v="212"/>
    <n v="12720"/>
    <n v="12564"/>
    <n v="21"/>
    <s v="FashionUpgrade"/>
    <s v="#MyntraTrend"/>
    <s v="#MyntraSale"/>
    <n v="0.18632075471698112"/>
  </r>
  <r>
    <s v="P216"/>
    <x v="2"/>
    <s v="2024-07-29"/>
    <s v="Story"/>
    <s v="Explore the latest story on Myntra! Trendy styles await."/>
    <n v="1509"/>
    <n v="88"/>
    <n v="163"/>
    <n v="30180"/>
    <n v="29689"/>
    <n v="119"/>
    <s v="FashionUpgrade"/>
    <s v="#MyntraTrend"/>
    <s v="NULL"/>
    <n v="5.8316766070245198E-2"/>
  </r>
  <r>
    <s v="P221"/>
    <x v="0"/>
    <s v="2025-03-23"/>
    <s v="Video"/>
    <s v="Explore the latest video on Myntra! Trendy styles await."/>
    <n v="4453"/>
    <n v="111"/>
    <n v="420"/>
    <n v="31171"/>
    <n v="30565"/>
    <n v="23"/>
    <s v="StyleRevolution"/>
    <s v="#MyntraTrend"/>
    <s v="#MyntraFashion"/>
    <n v="0.15989220750056141"/>
  </r>
  <r>
    <s v="P227"/>
    <x v="1"/>
    <s v="2024-06-12"/>
    <s v="Text"/>
    <s v="Explore the latest text on Myntra! Trendy styles await."/>
    <n v="246"/>
    <n v="149"/>
    <n v="130"/>
    <n v="4674"/>
    <n v="4390"/>
    <n v="217"/>
    <s v="EndOfSeasonSale"/>
    <s v="#MyntraTrend"/>
    <s v="#FashionDeals"/>
    <n v="0.11232349165596919"/>
  </r>
  <r>
    <s v="P228"/>
    <x v="1"/>
    <s v="2024-07-01"/>
    <s v="Story"/>
    <s v="Explore the latest story on Myntra! Trendy styles await."/>
    <n v="4808"/>
    <n v="772"/>
    <n v="320"/>
    <n v="72120"/>
    <n v="71696"/>
    <n v="195"/>
    <s v="StyleRevolution"/>
    <s v="#MyntraTrend"/>
    <s v="#MyntraSale"/>
    <n v="8.1808097615085965E-2"/>
  </r>
  <r>
    <s v="P229"/>
    <x v="1"/>
    <s v="2024-07-03"/>
    <s v="Carousel"/>
    <s v="Explore the latest carousel on Myntra! Trendy styles await."/>
    <n v="4799"/>
    <n v="694"/>
    <n v="289"/>
    <n v="43191"/>
    <n v="42228"/>
    <n v="118"/>
    <s v="EndOfSeasonSale"/>
    <s v="#MyntraTrend"/>
    <s v="NULL"/>
    <n v="0.13387048227640017"/>
  </r>
  <r>
    <s v="P238"/>
    <x v="3"/>
    <s v="2024-07-16"/>
    <s v="Text"/>
    <s v="Explore the latest text on Myntra! Trendy styles await."/>
    <n v="4725"/>
    <n v="400"/>
    <n v="362"/>
    <n v="75600"/>
    <n v="74927"/>
    <n v="43"/>
    <s v="FashionUpgrade"/>
    <s v="#MyntraTrend"/>
    <s v="#MyntraFashion"/>
    <n v="7.2579365079365077E-2"/>
  </r>
  <r>
    <s v="P247"/>
    <x v="0"/>
    <s v="2024-08-27"/>
    <s v="Reel"/>
    <s v="Explore the latest reel on Myntra! Trendy styles await."/>
    <n v="3960"/>
    <n v="266"/>
    <n v="8"/>
    <n v="35640"/>
    <n v="34850"/>
    <n v="208"/>
    <s v="StyleRevolution"/>
    <s v="#MyntraTrend"/>
    <s v="#MyntraFashion"/>
    <n v="0.11879910213243547"/>
  </r>
  <r>
    <s v="P263"/>
    <x v="1"/>
    <s v="2024-08-20"/>
    <s v="Reel"/>
    <s v="Explore the latest reel on Myntra! Trendy styles await."/>
    <n v="2603"/>
    <n v="690"/>
    <n v="205"/>
    <n v="13015"/>
    <n v="12130"/>
    <n v="20"/>
    <s v="FashionUpgrade"/>
    <s v="#MyntraTrend"/>
    <s v="NULL"/>
    <n v="0.26876680752977333"/>
  </r>
  <r>
    <s v="P264"/>
    <x v="3"/>
    <s v="2025-01-30"/>
    <s v="Image"/>
    <s v="Explore the latest image on Myntra! Trendy styles await."/>
    <n v="59"/>
    <n v="163"/>
    <n v="93"/>
    <n v="590"/>
    <n v="475"/>
    <n v="293"/>
    <s v="StyleRevolution"/>
    <s v="#MyntraTrend"/>
    <s v="NULL"/>
    <n v="0.53389830508474578"/>
  </r>
  <r>
    <s v="P273"/>
    <x v="2"/>
    <s v="2024-10-12"/>
    <s v="Story"/>
    <s v="Explore the latest story on Myntra! Trendy styles await."/>
    <n v="3641"/>
    <n v="226"/>
    <n v="46"/>
    <n v="40051"/>
    <n v="39319"/>
    <n v="296"/>
    <s v="EndOfSeasonSale"/>
    <s v="#MyntraTrend"/>
    <s v="NULL"/>
    <n v="9.7700431949264685E-2"/>
  </r>
  <r>
    <s v="P274"/>
    <x v="3"/>
    <s v="2025-01-01"/>
    <s v="Carousel"/>
    <s v="Explore the latest carousel on Myntra! Trendy styles await."/>
    <n v="3535"/>
    <n v="494"/>
    <n v="152"/>
    <n v="53025"/>
    <n v="52791"/>
    <n v="44"/>
    <s v="EndOfSeasonSale"/>
    <s v="#MyntraTrend"/>
    <s v="#StyleWithMyntra"/>
    <n v="7.8849599245638849E-2"/>
  </r>
  <r>
    <s v="P277"/>
    <x v="0"/>
    <s v="2025-04-06"/>
    <s v="Image"/>
    <s v="Explore the latest image on Myntra! Trendy styles await."/>
    <n v="4236"/>
    <n v="711"/>
    <n v="298"/>
    <n v="21180"/>
    <n v="20516"/>
    <n v="238"/>
    <s v="StyleRevolution"/>
    <s v="#MyntraTrend"/>
    <s v="#MyntraSale"/>
    <n v="0.24763928234183191"/>
  </r>
  <r>
    <s v="P278"/>
    <x v="3"/>
    <s v="2024-11-26"/>
    <s v="Text"/>
    <s v="Explore the latest text on Myntra! Trendy styles await."/>
    <n v="4516"/>
    <n v="836"/>
    <n v="169"/>
    <n v="49676"/>
    <n v="49257"/>
    <n v="282"/>
    <s v="FashionUpgrade"/>
    <s v="#MyntraTrend"/>
    <s v="NULL"/>
    <n v="0.11114018842096787"/>
  </r>
  <r>
    <s v="P279"/>
    <x v="2"/>
    <s v="2024-09-02"/>
    <s v="Image"/>
    <s v="Explore the latest image on Myntra! Trendy styles await."/>
    <n v="4905"/>
    <n v="845"/>
    <n v="129"/>
    <n v="98100"/>
    <n v="97772"/>
    <n v="279"/>
    <s v="StyleRevolution"/>
    <s v="#MyntraTrend"/>
    <s v="NULL"/>
    <n v="5.9928644240570844E-2"/>
  </r>
  <r>
    <s v="P283"/>
    <x v="3"/>
    <s v="2025-05-09"/>
    <s v="Reel"/>
    <s v="Explore the latest reel on Myntra! Trendy styles await."/>
    <n v="3367"/>
    <n v="302"/>
    <n v="57"/>
    <n v="63973"/>
    <n v="63789"/>
    <n v="157"/>
    <s v="MyntraFestiveEdit"/>
    <s v="#MyntraTrend"/>
    <s v="#MyntraFashion"/>
    <n v="5.8243321401216137E-2"/>
  </r>
  <r>
    <s v="P289"/>
    <x v="0"/>
    <s v="2024-11-28"/>
    <s v="Carousel"/>
    <s v="Explore the latest carousel on Myntra! Trendy styles await."/>
    <n v="2751"/>
    <n v="33"/>
    <n v="430"/>
    <n v="44016"/>
    <n v="43415"/>
    <n v="129"/>
    <s v="EndOfSeasonSale"/>
    <s v="#MyntraTrend"/>
    <s v="#StyleWithMyntra"/>
    <n v="7.3018902217375503E-2"/>
  </r>
  <r>
    <s v="P290"/>
    <x v="1"/>
    <s v="2024-12-20"/>
    <s v="Carousel"/>
    <s v="Explore the latest carousel on Myntra! Trendy styles await."/>
    <n v="2107"/>
    <n v="550"/>
    <n v="349"/>
    <n v="35819"/>
    <n v="35340"/>
    <n v="191"/>
    <s v="MyntraFestiveEdit"/>
    <s v="#MyntraTrend"/>
    <s v="NULL"/>
    <n v="8.3921940869371006E-2"/>
  </r>
  <r>
    <s v="P294"/>
    <x v="0"/>
    <s v="2024-06-19"/>
    <s v="Carousel"/>
    <s v="Explore the latest carousel on Myntra! Trendy styles await."/>
    <n v="4731"/>
    <n v="173"/>
    <n v="276"/>
    <n v="28386"/>
    <n v="28185"/>
    <n v="89"/>
    <s v="StyleRevolution"/>
    <s v="#MyntraTrend"/>
    <s v="#MyntraFashion"/>
    <n v="0.18248432325794406"/>
  </r>
  <r>
    <s v="P005"/>
    <x v="2"/>
    <s v="2024-06-26"/>
    <s v="Reel"/>
    <s v="Explore the latest reel on Myntra! Trendy styles await."/>
    <n v="3557"/>
    <n v="687"/>
    <n v="424"/>
    <n v="71140"/>
    <n v="70701"/>
    <n v="224"/>
    <s v="MyntraFestiveEdit"/>
    <s v="#StyleWithMyntra"/>
    <s v="#MyntraFashion"/>
    <n v="6.5617093055946027E-2"/>
  </r>
  <r>
    <s v="P011"/>
    <x v="1"/>
    <s v="2025-02-02"/>
    <s v="Story"/>
    <s v="Explore the latest story on Myntra! Trendy styles await."/>
    <n v="1792"/>
    <n v="614"/>
    <n v="497"/>
    <n v="25088"/>
    <n v="24675"/>
    <n v="65"/>
    <s v="FashionUpgrade"/>
    <s v="#StyleWithMyntra"/>
    <s v="NULL"/>
    <n v="0.11571269132653061"/>
  </r>
  <r>
    <s v="P012"/>
    <x v="0"/>
    <s v="2024-07-21"/>
    <s v="Reel"/>
    <s v="Explore the latest reel on Myntra! Trendy styles await."/>
    <n v="1946"/>
    <n v="686"/>
    <n v="377"/>
    <n v="23352"/>
    <n v="22982"/>
    <n v="213"/>
    <s v="MyntraFestiveEdit"/>
    <s v="#StyleWithMyntra"/>
    <s v="#MyntraSale"/>
    <n v="0.12885405960945528"/>
  </r>
  <r>
    <s v="P018"/>
    <x v="1"/>
    <s v="2024-08-19"/>
    <s v="Reel"/>
    <s v="Explore the latest reel on Myntra! Trendy styles await."/>
    <n v="3000"/>
    <n v="382"/>
    <n v="325"/>
    <n v="36000"/>
    <n v="35819"/>
    <n v="19"/>
    <s v="EndOfSeasonSale"/>
    <s v="#StyleWithMyntra"/>
    <s v="NULL"/>
    <n v="0.10297222222222223"/>
  </r>
  <r>
    <s v="P021"/>
    <x v="1"/>
    <s v="2025-01-04"/>
    <s v="Reel"/>
    <s v="Explore the latest reel on Myntra! Trendy styles await."/>
    <n v="4838"/>
    <n v="640"/>
    <n v="128"/>
    <n v="72570"/>
    <n v="72396"/>
    <n v="83"/>
    <s v="MyntraFestiveEdit"/>
    <s v="#StyleWithMyntra"/>
    <s v="#MyntraTrend"/>
    <n v="7.7249552156538517E-2"/>
  </r>
  <r>
    <s v="P025"/>
    <x v="3"/>
    <s v="2025-04-10"/>
    <s v="Carousel"/>
    <s v="Explore the latest carousel on Myntra! Trendy styles await."/>
    <n v="3128"/>
    <n v="211"/>
    <n v="197"/>
    <n v="59432"/>
    <n v="59182"/>
    <n v="238"/>
    <s v="FashionUpgrade"/>
    <s v="#StyleWithMyntra"/>
    <s v="#MyntraSale"/>
    <n v="5.9496567505720827E-2"/>
  </r>
  <r>
    <s v="P035"/>
    <x v="1"/>
    <s v="2024-11-30"/>
    <s v="Video"/>
    <s v="Explore the latest video on Myntra! Trendy styles await."/>
    <n v="3775"/>
    <n v="16"/>
    <n v="239"/>
    <n v="33975"/>
    <n v="33310"/>
    <n v="271"/>
    <s v="MyntraFestiveEdit"/>
    <s v="#StyleWithMyntra"/>
    <s v="#MyntraSale"/>
    <n v="0.11861662987490802"/>
  </r>
  <r>
    <s v="P040"/>
    <x v="3"/>
    <s v="2025-03-07"/>
    <s v="Image"/>
    <s v="Explore the latest image on Myntra! Trendy styles await."/>
    <n v="4750"/>
    <n v="151"/>
    <n v="415"/>
    <n v="38000"/>
    <n v="37792"/>
    <n v="299"/>
    <s v="EndOfSeasonSale"/>
    <s v="#StyleWithMyntra"/>
    <s v="#MyntraSale"/>
    <n v="0.13989473684210527"/>
  </r>
  <r>
    <s v="P042"/>
    <x v="2"/>
    <s v="2025-03-05"/>
    <s v="Reel"/>
    <s v="Explore the latest reel on Myntra! Trendy styles await."/>
    <n v="1543"/>
    <n v="820"/>
    <n v="333"/>
    <n v="12344"/>
    <n v="11496"/>
    <n v="241"/>
    <s v="MyntraFestiveEdit"/>
    <s v="#StyleWithMyntra"/>
    <s v="NULL"/>
    <n v="0.21840570317563188"/>
  </r>
  <r>
    <s v="P049"/>
    <x v="3"/>
    <s v="2024-06-10"/>
    <s v="Story"/>
    <s v="Explore the latest story on Myntra! Trendy styles await."/>
    <n v="2164"/>
    <n v="549"/>
    <n v="274"/>
    <n v="28132"/>
    <n v="27361"/>
    <n v="177"/>
    <s v="FashionUpgrade"/>
    <s v="#StyleWithMyntra"/>
    <s v="NULL"/>
    <n v="0.10617801791554102"/>
  </r>
  <r>
    <s v="P053"/>
    <x v="2"/>
    <s v="2025-02-24"/>
    <s v="Carousel"/>
    <s v="Explore the latest carousel on Myntra! Trendy styles await."/>
    <n v="804"/>
    <n v="639"/>
    <n v="43"/>
    <n v="4020"/>
    <n v="3144"/>
    <n v="11"/>
    <s v="StyleRevolution"/>
    <s v="#StyleWithMyntra"/>
    <s v="#MyntraTrend"/>
    <n v="0.36965174129353234"/>
  </r>
  <r>
    <s v="P056"/>
    <x v="0"/>
    <s v="2024-12-18"/>
    <s v="Carousel"/>
    <s v="Explore the latest carousel on Myntra! Trendy styles await."/>
    <n v="2946"/>
    <n v="498"/>
    <n v="367"/>
    <n v="29460"/>
    <n v="28527"/>
    <n v="60"/>
    <s v="EndOfSeasonSale"/>
    <s v="#StyleWithMyntra"/>
    <s v="#FashionDeals"/>
    <n v="0.12936184657162253"/>
  </r>
  <r>
    <s v="P057"/>
    <x v="3"/>
    <s v="2024-10-21"/>
    <s v="Video"/>
    <s v="Explore the latest video on Myntra! Trendy styles await."/>
    <n v="2825"/>
    <n v="535"/>
    <n v="295"/>
    <n v="45200"/>
    <n v="44739"/>
    <n v="169"/>
    <s v="EndOfSeasonSale"/>
    <s v="#StyleWithMyntra"/>
    <s v="NULL"/>
    <n v="8.0862831858407078E-2"/>
  </r>
  <r>
    <s v="P060"/>
    <x v="1"/>
    <s v="2025-01-28"/>
    <s v="Video"/>
    <s v="Explore the latest video on Myntra! Trendy styles await."/>
    <n v="904"/>
    <n v="973"/>
    <n v="63"/>
    <n v="11752"/>
    <n v="11580"/>
    <n v="84"/>
    <s v="FashionUpgrade"/>
    <s v="#StyleWithMyntra"/>
    <s v="NULL"/>
    <n v="0.1650782845473111"/>
  </r>
  <r>
    <s v="P069"/>
    <x v="3"/>
    <s v="2025-03-08"/>
    <s v="Text"/>
    <s v="Explore the latest text on Myntra! Trendy styles await."/>
    <n v="1292"/>
    <n v="626"/>
    <n v="496"/>
    <n v="25840"/>
    <n v="24916"/>
    <n v="149"/>
    <s v="StyleRevolution"/>
    <s v="#StyleWithMyntra"/>
    <s v="#MyntraTrend"/>
    <n v="9.3421052631578946E-2"/>
  </r>
  <r>
    <s v="P075"/>
    <x v="1"/>
    <s v="2024-08-01"/>
    <s v="Reel"/>
    <s v="Explore the latest reel on Myntra! Trendy styles await."/>
    <n v="1674"/>
    <n v="929"/>
    <n v="37"/>
    <n v="21762"/>
    <n v="20998"/>
    <n v="255"/>
    <s v="MyntraFestiveEdit"/>
    <s v="#StyleWithMyntra"/>
    <s v="#FashionDeals"/>
    <n v="0.12131237937689551"/>
  </r>
  <r>
    <s v="P092"/>
    <x v="3"/>
    <s v="2024-10-21"/>
    <s v="Story"/>
    <s v="Explore the latest story on Myntra! Trendy styles await."/>
    <n v="3801"/>
    <n v="967"/>
    <n v="401"/>
    <n v="38010"/>
    <n v="37625"/>
    <n v="236"/>
    <s v="StyleRevolution"/>
    <s v="#StyleWithMyntra"/>
    <s v="NULL"/>
    <n v="0.13599052880820836"/>
  </r>
  <r>
    <s v="P094"/>
    <x v="1"/>
    <s v="2024-11-07"/>
    <s v="Image"/>
    <s v="Explore the latest image on Myntra! Trendy styles await."/>
    <n v="2647"/>
    <n v="304"/>
    <n v="170"/>
    <n v="18529"/>
    <n v="17841"/>
    <n v="46"/>
    <s v="EndOfSeasonSale"/>
    <s v="#StyleWithMyntra"/>
    <s v="NULL"/>
    <n v="0.16843866371633656"/>
  </r>
  <r>
    <s v="P095"/>
    <x v="1"/>
    <s v="2024-11-08"/>
    <s v="Text"/>
    <s v="Explore the latest text on Myntra! Trendy styles await."/>
    <n v="3182"/>
    <n v="559"/>
    <n v="160"/>
    <n v="57276"/>
    <n v="56890"/>
    <n v="163"/>
    <s v="EndOfSeasonSale"/>
    <s v="#StyleWithMyntra"/>
    <s v="#MyntraTrend"/>
    <n v="6.8108806480899509E-2"/>
  </r>
  <r>
    <s v="P097"/>
    <x v="1"/>
    <s v="2024-08-13"/>
    <s v="Image"/>
    <s v="Explore the latest image on Myntra! Trendy styles await."/>
    <n v="4739"/>
    <n v="527"/>
    <n v="135"/>
    <n v="61607"/>
    <n v="61333"/>
    <n v="36"/>
    <s v="EndOfSeasonSale"/>
    <s v="#StyleWithMyntra"/>
    <s v="#MyntraSale"/>
    <n v="8.7668609086629767E-2"/>
  </r>
  <r>
    <s v="P098"/>
    <x v="3"/>
    <s v="2024-06-10"/>
    <s v="Story"/>
    <s v="Explore the latest story on Myntra! Trendy styles await."/>
    <n v="1575"/>
    <n v="771"/>
    <n v="486"/>
    <n v="25200"/>
    <n v="24826"/>
    <n v="17"/>
    <s v="MyntraFestiveEdit"/>
    <s v="#StyleWithMyntra"/>
    <s v="NULL"/>
    <n v="0.11238095238095239"/>
  </r>
  <r>
    <s v="P099"/>
    <x v="2"/>
    <s v="2024-07-02"/>
    <s v="Carousel"/>
    <s v="Explore the latest carousel on Myntra! Trendy styles await."/>
    <n v="4171"/>
    <n v="548"/>
    <n v="86"/>
    <n v="66736"/>
    <n v="66634"/>
    <n v="173"/>
    <s v="MyntraFestiveEdit"/>
    <s v="#StyleWithMyntra"/>
    <s v="NULL"/>
    <n v="7.2000119875329657E-2"/>
  </r>
  <r>
    <s v="P100"/>
    <x v="2"/>
    <s v="2025-02-10"/>
    <s v="Video"/>
    <s v="Explore the latest video on Myntra! Trendy styles await."/>
    <n v="1766"/>
    <n v="92"/>
    <n v="424"/>
    <n v="24724"/>
    <n v="24333"/>
    <n v="52"/>
    <s v="FashionUpgrade"/>
    <s v="#StyleWithMyntra"/>
    <s v="NULL"/>
    <n v="9.2298980747451867E-2"/>
  </r>
  <r>
    <s v="P105"/>
    <x v="1"/>
    <s v="2024-06-14"/>
    <s v="Carousel"/>
    <s v="Explore the latest carousel on Myntra! Trendy styles await."/>
    <n v="498"/>
    <n v="38"/>
    <n v="42"/>
    <n v="4482"/>
    <n v="3647"/>
    <n v="32"/>
    <s v="StyleRevolution"/>
    <s v="#StyleWithMyntra"/>
    <s v="#FashionDeals"/>
    <n v="0.12896028558679162"/>
  </r>
  <r>
    <s v="P108"/>
    <x v="3"/>
    <s v="2025-03-25"/>
    <s v="Video"/>
    <s v="Explore the latest video on Myntra! Trendy styles await."/>
    <n v="4050"/>
    <n v="871"/>
    <n v="347"/>
    <n v="52650"/>
    <n v="51755"/>
    <n v="209"/>
    <s v="FashionUpgrade"/>
    <s v="#StyleWithMyntra"/>
    <s v="#FashionDeals"/>
    <n v="0.10005698005698006"/>
  </r>
  <r>
    <s v="P116"/>
    <x v="2"/>
    <s v="2025-03-18"/>
    <s v="Reel"/>
    <s v="Explore the latest reel on Myntra! Trendy styles await."/>
    <n v="3704"/>
    <n v="186"/>
    <n v="458"/>
    <n v="25928"/>
    <n v="25081"/>
    <n v="131"/>
    <s v="FashionUpgrade"/>
    <s v="#StyleWithMyntra"/>
    <s v="NULL"/>
    <n v="0.16769515581610614"/>
  </r>
  <r>
    <s v="P124"/>
    <x v="2"/>
    <s v="2025-04-06"/>
    <s v="Carousel"/>
    <s v="Explore the latest carousel on Myntra! Trendy styles await."/>
    <n v="736"/>
    <n v="771"/>
    <n v="225"/>
    <n v="5152"/>
    <n v="4706"/>
    <n v="19"/>
    <s v="MyntraFestiveEdit"/>
    <s v="#StyleWithMyntra"/>
    <s v="NULL"/>
    <n v="0.33618012422360249"/>
  </r>
  <r>
    <s v="P125"/>
    <x v="3"/>
    <s v="2024-09-08"/>
    <s v="Carousel"/>
    <s v="Explore the latest carousel on Myntra! Trendy styles await."/>
    <n v="3811"/>
    <n v="866"/>
    <n v="216"/>
    <n v="34299"/>
    <n v="34088"/>
    <n v="233"/>
    <s v="MyntraFestiveEdit"/>
    <s v="#StyleWithMyntra"/>
    <s v="NULL"/>
    <n v="0.14265722032712325"/>
  </r>
  <r>
    <s v="P128"/>
    <x v="3"/>
    <s v="2025-01-10"/>
    <s v="Image"/>
    <s v="Explore the latest image on Myntra! Trendy styles await."/>
    <n v="3092"/>
    <n v="106"/>
    <n v="291"/>
    <n v="27828"/>
    <n v="27217"/>
    <n v="102"/>
    <s v="StyleRevolution"/>
    <s v="#StyleWithMyntra"/>
    <s v="NULL"/>
    <n v="0.12537731780940059"/>
  </r>
  <r>
    <s v="P146"/>
    <x v="2"/>
    <s v="2024-06-05"/>
    <s v="Reel"/>
    <s v="Explore the latest reel on Myntra! Trendy styles await."/>
    <n v="3065"/>
    <n v="772"/>
    <n v="142"/>
    <n v="18390"/>
    <n v="17875"/>
    <n v="200"/>
    <s v="FashionUpgrade"/>
    <s v="#StyleWithMyntra"/>
    <s v="NULL"/>
    <n v="0.21636759108210984"/>
  </r>
  <r>
    <s v="P148"/>
    <x v="1"/>
    <s v="2025-04-15"/>
    <s v="Video"/>
    <s v="Explore the latest video on Myntra! Trendy styles await."/>
    <n v="4133"/>
    <n v="466"/>
    <n v="327"/>
    <n v="24798"/>
    <n v="24620"/>
    <n v="176"/>
    <s v="EndOfSeasonSale"/>
    <s v="#StyleWithMyntra"/>
    <s v="NULL"/>
    <n v="0.19864505202032423"/>
  </r>
  <r>
    <s v="P157"/>
    <x v="2"/>
    <s v="2024-07-23"/>
    <s v="Story"/>
    <s v="Explore the latest story on Myntra! Trendy styles await."/>
    <n v="4775"/>
    <n v="173"/>
    <n v="206"/>
    <n v="47750"/>
    <n v="47544"/>
    <n v="187"/>
    <s v="StyleRevolution"/>
    <s v="#StyleWithMyntra"/>
    <s v="#MyntraTrend"/>
    <n v="0.10793717277486911"/>
  </r>
  <r>
    <s v="P159"/>
    <x v="0"/>
    <s v="2024-11-25"/>
    <s v="Story"/>
    <s v="Explore the latest story on Myntra! Trendy styles await."/>
    <n v="2120"/>
    <n v="158"/>
    <n v="488"/>
    <n v="12720"/>
    <n v="12085"/>
    <n v="17"/>
    <s v="EndOfSeasonSale"/>
    <s v="#StyleWithMyntra"/>
    <s v="#MyntraTrend"/>
    <n v="0.21745283018867925"/>
  </r>
  <r>
    <s v="P160"/>
    <x v="3"/>
    <s v="2024-08-24"/>
    <s v="Video"/>
    <s v="Explore the latest video on Myntra! Trendy styles await."/>
    <n v="1082"/>
    <n v="209"/>
    <n v="484"/>
    <n v="19476"/>
    <n v="18654"/>
    <n v="20"/>
    <s v="StyleRevolution"/>
    <s v="#StyleWithMyntra"/>
    <s v="NULL"/>
    <n v="9.1137810638734856E-2"/>
  </r>
  <r>
    <s v="P170"/>
    <x v="3"/>
    <s v="2025-04-28"/>
    <s v="Text"/>
    <s v="Explore the latest text on Myntra! Trendy styles await."/>
    <n v="3577"/>
    <n v="596"/>
    <n v="493"/>
    <n v="67963"/>
    <n v="67839"/>
    <n v="53"/>
    <s v="StyleRevolution"/>
    <s v="#StyleWithMyntra"/>
    <s v="#MyntraTrend"/>
    <n v="6.8655003457763777E-2"/>
  </r>
  <r>
    <s v="P178"/>
    <x v="1"/>
    <s v="2024-11-07"/>
    <s v="Video"/>
    <s v="Explore the latest video on Myntra! Trendy styles await."/>
    <n v="129"/>
    <n v="643"/>
    <n v="136"/>
    <n v="1290"/>
    <n v="839"/>
    <n v="238"/>
    <s v="StyleRevolution"/>
    <s v="#StyleWithMyntra"/>
    <s v="#FashionDeals"/>
    <n v="0.70387596899224802"/>
  </r>
  <r>
    <s v="P179"/>
    <x v="0"/>
    <s v="2024-07-15"/>
    <s v="Carousel"/>
    <s v="Explore the latest carousel on Myntra! Trendy styles await."/>
    <n v="3796"/>
    <n v="667"/>
    <n v="395"/>
    <n v="64532"/>
    <n v="63550"/>
    <n v="292"/>
    <s v="FashionUpgrade"/>
    <s v="#StyleWithMyntra"/>
    <s v="NULL"/>
    <n v="7.5280481001673588E-2"/>
  </r>
  <r>
    <s v="P180"/>
    <x v="2"/>
    <s v="2024-12-03"/>
    <s v="Text"/>
    <s v="Explore the latest text on Myntra! Trendy styles await."/>
    <n v="3711"/>
    <n v="352"/>
    <n v="290"/>
    <n v="48243"/>
    <n v="47579"/>
    <n v="11"/>
    <s v="StyleRevolution"/>
    <s v="#StyleWithMyntra"/>
    <s v="#FashionDeals"/>
    <n v="9.023070704558174E-2"/>
  </r>
  <r>
    <s v="P183"/>
    <x v="1"/>
    <s v="2024-12-17"/>
    <s v="Story"/>
    <s v="Explore the latest story on Myntra! Trendy styles await."/>
    <n v="360"/>
    <n v="590"/>
    <n v="393"/>
    <n v="4680"/>
    <n v="4322"/>
    <n v="208"/>
    <s v="EndOfSeasonSale"/>
    <s v="#StyleWithMyntra"/>
    <s v="#FashionDeals"/>
    <n v="0.28696581196581195"/>
  </r>
  <r>
    <s v="P184"/>
    <x v="3"/>
    <s v="2024-07-28"/>
    <s v="Image"/>
    <s v="Explore the latest image on Myntra! Trendy styles await."/>
    <n v="3215"/>
    <n v="960"/>
    <n v="202"/>
    <n v="32150"/>
    <n v="31404"/>
    <n v="251"/>
    <s v="MyntraFestiveEdit"/>
    <s v="#StyleWithMyntra"/>
    <s v="NULL"/>
    <n v="0.13614307931570763"/>
  </r>
  <r>
    <s v="P190"/>
    <x v="2"/>
    <s v="2024-10-04"/>
    <s v="Text"/>
    <s v="Explore the latest text on Myntra! Trendy styles await."/>
    <n v="1963"/>
    <n v="213"/>
    <n v="19"/>
    <n v="39260"/>
    <n v="38771"/>
    <n v="145"/>
    <s v="FashionUpgrade"/>
    <s v="#StyleWithMyntra"/>
    <s v="NULL"/>
    <n v="5.5909322465613857E-2"/>
  </r>
  <r>
    <s v="P205"/>
    <x v="3"/>
    <s v="2025-04-24"/>
    <s v="Video"/>
    <s v="Explore the latest video on Myntra! Trendy styles await."/>
    <n v="3820"/>
    <n v="697"/>
    <n v="268"/>
    <n v="45840"/>
    <n v="45631"/>
    <n v="171"/>
    <s v="FashionUpgrade"/>
    <s v="#StyleWithMyntra"/>
    <s v="#FashionDeals"/>
    <n v="0.1043848167539267"/>
  </r>
  <r>
    <s v="P207"/>
    <x v="3"/>
    <s v="2024-12-29"/>
    <s v="Carousel"/>
    <s v="Explore the latest carousel on Myntra! Trendy styles await."/>
    <n v="4274"/>
    <n v="340"/>
    <n v="281"/>
    <n v="34192"/>
    <n v="33446"/>
    <n v="129"/>
    <s v="MyntraFestiveEdit"/>
    <s v="#StyleWithMyntra"/>
    <s v="#FashionDeals"/>
    <n v="0.14316214319138981"/>
  </r>
  <r>
    <s v="P209"/>
    <x v="3"/>
    <s v="2025-03-19"/>
    <s v="Video"/>
    <s v="Explore the latest video on Myntra! Trendy styles await."/>
    <n v="3160"/>
    <n v="204"/>
    <n v="297"/>
    <n v="44240"/>
    <n v="43666"/>
    <n v="49"/>
    <s v="FashionUpgrade"/>
    <s v="#StyleWithMyntra"/>
    <s v="#MyntraTrend"/>
    <n v="8.2753164556962022E-2"/>
  </r>
  <r>
    <s v="P212"/>
    <x v="2"/>
    <s v="2025-03-03"/>
    <s v="Video"/>
    <s v="Explore the latest video on Myntra! Trendy styles await."/>
    <n v="3874"/>
    <n v="884"/>
    <n v="19"/>
    <n v="38740"/>
    <n v="38552"/>
    <n v="219"/>
    <s v="StyleRevolution"/>
    <s v="#StyleWithMyntra"/>
    <s v="NULL"/>
    <n v="0.123309241094476"/>
  </r>
  <r>
    <s v="P219"/>
    <x v="3"/>
    <s v="2025-01-28"/>
    <s v="Reel"/>
    <s v="Explore the latest reel on Myntra! Trendy styles await."/>
    <n v="1188"/>
    <n v="470"/>
    <n v="174"/>
    <n v="7128"/>
    <n v="6145"/>
    <n v="270"/>
    <s v="EndOfSeasonSale"/>
    <s v="#StyleWithMyntra"/>
    <s v="#MyntraFashion"/>
    <n v="0.25701459034792368"/>
  </r>
  <r>
    <s v="P220"/>
    <x v="1"/>
    <s v="2024-06-02"/>
    <s v="Story"/>
    <s v="Explore the latest story on Myntra! Trendy styles await."/>
    <n v="84"/>
    <n v="897"/>
    <n v="85"/>
    <n v="588"/>
    <n v="8"/>
    <n v="12"/>
    <s v="EndOfSeasonSale"/>
    <s v="#StyleWithMyntra"/>
    <s v="NULL"/>
    <n v="1.8129251700680271"/>
  </r>
  <r>
    <s v="P222"/>
    <x v="0"/>
    <s v="2024-10-08"/>
    <s v="Reel"/>
    <s v="Explore the latest reel on Myntra! Trendy styles await."/>
    <n v="1814"/>
    <n v="653"/>
    <n v="363"/>
    <n v="25396"/>
    <n v="25286"/>
    <n v="39"/>
    <s v="FashionUpgrade"/>
    <s v="#StyleWithMyntra"/>
    <s v="NULL"/>
    <n v="0.11143487163332809"/>
  </r>
  <r>
    <s v="P223"/>
    <x v="3"/>
    <s v="2024-11-12"/>
    <s v="Image"/>
    <s v="Explore the latest image on Myntra! Trendy styles await."/>
    <n v="3338"/>
    <n v="277"/>
    <n v="118"/>
    <n v="60084"/>
    <n v="59842"/>
    <n v="252"/>
    <s v="FashionUpgrade"/>
    <s v="#StyleWithMyntra"/>
    <s v="NULL"/>
    <n v="6.2129685107516146E-2"/>
  </r>
  <r>
    <s v="P235"/>
    <x v="0"/>
    <s v="2024-12-22"/>
    <s v="Image"/>
    <s v="Explore the latest image on Myntra! Trendy styles await."/>
    <n v="3196"/>
    <n v="941"/>
    <n v="376"/>
    <n v="35156"/>
    <n v="34444"/>
    <n v="241"/>
    <s v="StyleRevolution"/>
    <s v="#StyleWithMyntra"/>
    <s v="#MyntraTrend"/>
    <n v="0.1283706906360223"/>
  </r>
  <r>
    <s v="P236"/>
    <x v="0"/>
    <s v="2024-08-19"/>
    <s v="Text"/>
    <s v="Explore the latest text on Myntra! Trendy styles await."/>
    <n v="1257"/>
    <n v="19"/>
    <n v="351"/>
    <n v="12570"/>
    <n v="11660"/>
    <n v="194"/>
    <s v="FashionUpgrade"/>
    <s v="#StyleWithMyntra"/>
    <s v="NULL"/>
    <n v="0.12943516308671441"/>
  </r>
  <r>
    <s v="P239"/>
    <x v="2"/>
    <s v="2025-02-24"/>
    <s v="Text"/>
    <s v="Explore the latest text on Myntra! Trendy styles await."/>
    <n v="4188"/>
    <n v="942"/>
    <n v="118"/>
    <n v="20940"/>
    <n v="20471"/>
    <n v="102"/>
    <s v="EndOfSeasonSale"/>
    <s v="#StyleWithMyntra"/>
    <s v="NULL"/>
    <n v="0.25062082139446035"/>
  </r>
  <r>
    <s v="P243"/>
    <x v="3"/>
    <s v="2025-03-06"/>
    <s v="Image"/>
    <s v="Explore the latest image on Myntra! Trendy styles await."/>
    <n v="3592"/>
    <n v="911"/>
    <n v="375"/>
    <n v="50288"/>
    <n v="49490"/>
    <n v="32"/>
    <s v="EndOfSeasonSale"/>
    <s v="#StyleWithMyntra"/>
    <s v="NULL"/>
    <n v="9.7001272669424113E-2"/>
  </r>
  <r>
    <s v="P244"/>
    <x v="2"/>
    <s v="2024-10-25"/>
    <s v="Video"/>
    <s v="Explore the latest video on Myntra! Trendy styles await."/>
    <n v="4661"/>
    <n v="935"/>
    <n v="433"/>
    <n v="23305"/>
    <n v="22583"/>
    <n v="63"/>
    <s v="FashionUpgrade"/>
    <s v="#StyleWithMyntra"/>
    <s v="#FashionDeals"/>
    <n v="0.25869984981763572"/>
  </r>
  <r>
    <s v="P249"/>
    <x v="3"/>
    <s v="2024-07-18"/>
    <s v="Image"/>
    <s v="Explore the latest image on Myntra! Trendy styles await."/>
    <n v="827"/>
    <n v="77"/>
    <n v="402"/>
    <n v="14886"/>
    <n v="14129"/>
    <n v="254"/>
    <s v="EndOfSeasonSale"/>
    <s v="#StyleWithMyntra"/>
    <s v="NULL"/>
    <n v="8.7733440816874911E-2"/>
  </r>
  <r>
    <s v="P252"/>
    <x v="0"/>
    <s v="2025-04-28"/>
    <s v="Carousel"/>
    <s v="Explore the latest carousel on Myntra! Trendy styles await."/>
    <n v="2089"/>
    <n v="476"/>
    <n v="69"/>
    <n v="16712"/>
    <n v="16309"/>
    <n v="64"/>
    <s v="FashionUpgrade"/>
    <s v="#StyleWithMyntra"/>
    <s v="#MyntraSale"/>
    <n v="0.15761129727142173"/>
  </r>
  <r>
    <s v="P253"/>
    <x v="3"/>
    <s v="2024-08-03"/>
    <s v="Reel"/>
    <s v="Explore the latest reel on Myntra! Trendy styles await."/>
    <n v="3791"/>
    <n v="593"/>
    <n v="228"/>
    <n v="53074"/>
    <n v="52613"/>
    <n v="205"/>
    <s v="FashionUpgrade"/>
    <s v="#StyleWithMyntra"/>
    <s v="#FashionDeals"/>
    <n v="8.6897539284772202E-2"/>
  </r>
  <r>
    <s v="P255"/>
    <x v="0"/>
    <s v="2025-04-03"/>
    <s v="Story"/>
    <s v="Explore the latest story on Myntra! Trendy styles await."/>
    <n v="3767"/>
    <n v="514"/>
    <n v="238"/>
    <n v="37670"/>
    <n v="36807"/>
    <n v="226"/>
    <s v="FashionUpgrade"/>
    <s v="#StyleWithMyntra"/>
    <s v="#FashionDeals"/>
    <n v="0.11996283514733209"/>
  </r>
  <r>
    <s v="P258"/>
    <x v="1"/>
    <s v="2024-08-05"/>
    <s v="Story"/>
    <s v="Explore the latest story on Myntra! Trendy styles await."/>
    <n v="3601"/>
    <n v="695"/>
    <n v="75"/>
    <n v="21606"/>
    <n v="21454"/>
    <n v="172"/>
    <s v="EndOfSeasonSale"/>
    <s v="#StyleWithMyntra"/>
    <s v="NULL"/>
    <n v="0.2023049153013052"/>
  </r>
  <r>
    <s v="P265"/>
    <x v="3"/>
    <s v="2025-02-20"/>
    <s v="Carousel"/>
    <s v="Explore the latest carousel on Myntra! Trendy styles await."/>
    <n v="1877"/>
    <n v="745"/>
    <n v="225"/>
    <n v="11262"/>
    <n v="10967"/>
    <n v="41"/>
    <s v="FashionUpgrade"/>
    <s v="#StyleWithMyntra"/>
    <s v="#MyntraSale"/>
    <n v="0.25279701651571657"/>
  </r>
  <r>
    <s v="P267"/>
    <x v="3"/>
    <s v="2024-10-04"/>
    <s v="Reel"/>
    <s v="Explore the latest reel on Myntra! Trendy styles await."/>
    <n v="4187"/>
    <n v="66"/>
    <n v="31"/>
    <n v="66992"/>
    <n v="66614"/>
    <n v="62"/>
    <s v="StyleRevolution"/>
    <s v="#StyleWithMyntra"/>
    <s v="NULL"/>
    <n v="6.3947934081681396E-2"/>
  </r>
  <r>
    <s v="P268"/>
    <x v="1"/>
    <s v="2025-04-13"/>
    <s v="Reel"/>
    <s v="Explore the latest reel on Myntra! Trendy styles await."/>
    <n v="4579"/>
    <n v="125"/>
    <n v="300"/>
    <n v="59527"/>
    <n v="59400"/>
    <n v="269"/>
    <s v="FashionUpgrade"/>
    <s v="#StyleWithMyntra"/>
    <s v="#MyntraFashion"/>
    <n v="8.4062694239588759E-2"/>
  </r>
  <r>
    <s v="P269"/>
    <x v="1"/>
    <s v="2024-11-05"/>
    <s v="Video"/>
    <s v="Explore the latest video on Myntra! Trendy styles await."/>
    <n v="4561"/>
    <n v="51"/>
    <n v="441"/>
    <n v="22805"/>
    <n v="21890"/>
    <n v="45"/>
    <s v="EndOfSeasonSale"/>
    <s v="#StyleWithMyntra"/>
    <s v="NULL"/>
    <n v="0.22157421618066214"/>
  </r>
  <r>
    <s v="P280"/>
    <x v="2"/>
    <s v="2024-10-21"/>
    <s v="Video"/>
    <s v="Explore the latest video on Myntra! Trendy styles await."/>
    <n v="4275"/>
    <n v="680"/>
    <n v="385"/>
    <n v="64125"/>
    <n v="63650"/>
    <n v="104"/>
    <s v="StyleRevolution"/>
    <s v="#StyleWithMyntra"/>
    <s v="NULL"/>
    <n v="8.3274853801169585E-2"/>
  </r>
  <r>
    <s v="P293"/>
    <x v="0"/>
    <s v="2025-05-14"/>
    <s v="Text"/>
    <s v="Explore the latest text on Myntra! Trendy styles await."/>
    <n v="2634"/>
    <n v="726"/>
    <n v="241"/>
    <n v="28974"/>
    <n v="28102"/>
    <n v="277"/>
    <s v="MyntraFestiveEdit"/>
    <s v="#StyleWithMyntra"/>
    <s v="NULL"/>
    <n v="0.12428384068475185"/>
  </r>
  <r>
    <s v="P297"/>
    <x v="3"/>
    <s v="2024-12-24"/>
    <s v="Text"/>
    <s v="Explore the latest text on Myntra! Trendy styles await."/>
    <n v="2166"/>
    <n v="354"/>
    <n v="117"/>
    <n v="10830"/>
    <n v="10245"/>
    <n v="24"/>
    <s v="FashionUpgrade"/>
    <s v="#StyleWithMyntra"/>
    <s v="#MyntraTrend"/>
    <n v="0.2434903047091412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x v="0"/>
    <n v="8.06"/>
    <n v="5904"/>
    <n v="1.0030428616268121"/>
    <n v="1047"/>
    <s v=" "/>
  </r>
  <r>
    <x v="0"/>
    <x v="1"/>
    <n v="1312"/>
    <n v="310"/>
    <x v="1"/>
    <n v="4.9800000000000004"/>
    <n v="9566"/>
    <n v="1.0234913489942326"/>
    <n v="1002"/>
    <m/>
  </r>
  <r>
    <x v="0"/>
    <x v="2"/>
    <n v="584"/>
    <n v="169"/>
    <x v="2"/>
    <n v="8.31"/>
    <n v="26752"/>
    <n v="1.0028263208793604"/>
    <n v="415"/>
    <m/>
  </r>
  <r>
    <x v="0"/>
    <x v="3"/>
    <n v="1535"/>
    <n v="445"/>
    <x v="3"/>
    <n v="4.1100000000000003"/>
    <n v="30671"/>
    <n v="1.0027557542170624"/>
    <n v="1090"/>
    <m/>
  </r>
  <r>
    <x v="1"/>
    <x v="0"/>
    <n v="656"/>
    <n v="139"/>
    <x v="4"/>
    <n v="9.0500000000000007"/>
    <n v="9920"/>
    <n v="1.010517322049759"/>
    <n v="517"/>
    <m/>
  </r>
  <r>
    <x v="1"/>
    <x v="1"/>
    <n v="1697"/>
    <n v="414"/>
    <x v="5"/>
    <n v="2.37"/>
    <n v="7924"/>
    <n v="1.0040530081660375"/>
    <n v="1283"/>
    <m/>
  </r>
  <r>
    <x v="1"/>
    <x v="2"/>
    <n v="436"/>
    <n v="250"/>
    <x v="6"/>
    <n v="4.01"/>
    <n v="8912"/>
    <n v="1.0007312844263938"/>
    <n v="186"/>
    <m/>
  </r>
  <r>
    <x v="1"/>
    <x v="3"/>
    <n v="1197"/>
    <n v="203"/>
    <x v="7"/>
    <n v="3.16"/>
    <n v="21205"/>
    <n v="1.0024016739232333"/>
    <n v="994"/>
    <m/>
  </r>
  <r>
    <x v="2"/>
    <x v="0"/>
    <n v="1048"/>
    <n v="155"/>
    <x v="8"/>
    <n v="2.46"/>
    <n v="11329"/>
    <n v="1.0019542790614209"/>
    <n v="893"/>
    <m/>
  </r>
  <r>
    <x v="2"/>
    <x v="1"/>
    <n v="1753"/>
    <n v="371"/>
    <x v="9"/>
    <n v="8.11"/>
    <n v="46670"/>
    <n v="1.0081535847453627"/>
    <n v="1382"/>
    <m/>
  </r>
  <r>
    <x v="2"/>
    <x v="2"/>
    <n v="1335"/>
    <n v="40"/>
    <x v="10"/>
    <n v="8.19"/>
    <n v="22482"/>
    <n v="1.0105514454258058"/>
    <n v="1295"/>
    <m/>
  </r>
  <r>
    <x v="2"/>
    <x v="3"/>
    <n v="403"/>
    <n v="66"/>
    <x v="11"/>
    <n v="3.49"/>
    <n v="24313"/>
    <n v="1.0008802380038186"/>
    <n v="337"/>
    <m/>
  </r>
  <r>
    <x v="3"/>
    <x v="0"/>
    <n v="911"/>
    <n v="282"/>
    <x v="12"/>
    <n v="6.92"/>
    <n v="18050"/>
    <n v="1.0176368326603857"/>
    <n v="629"/>
    <m/>
  </r>
  <r>
    <x v="3"/>
    <x v="1"/>
    <n v="1779"/>
    <n v="109"/>
    <x v="13"/>
    <n v="9.1199999999999992"/>
    <n v="30635"/>
    <n v="1.0635101730366989"/>
    <n v="1670"/>
    <m/>
  </r>
  <r>
    <x v="3"/>
    <x v="2"/>
    <n v="1238"/>
    <n v="403"/>
    <x v="14"/>
    <n v="3.5"/>
    <n v="31280"/>
    <n v="1.0027980604582116"/>
    <n v="835"/>
    <m/>
  </r>
  <r>
    <x v="3"/>
    <x v="3"/>
    <n v="308"/>
    <n v="431"/>
    <x v="15"/>
    <n v="2.62"/>
    <n v="1783"/>
    <n v="0.99971139226249695"/>
    <n v="-123"/>
    <m/>
  </r>
  <r>
    <x v="4"/>
    <x v="0"/>
    <n v="226"/>
    <n v="445"/>
    <x v="16"/>
    <n v="9.36"/>
    <n v="9566"/>
    <n v="0.99947788397580628"/>
    <n v="-219"/>
    <m/>
  </r>
  <r>
    <x v="4"/>
    <x v="1"/>
    <n v="505"/>
    <n v="441"/>
    <x v="17"/>
    <n v="4.4800000000000004"/>
    <n v="42307"/>
    <n v="1.000290882647032"/>
    <n v="64"/>
    <m/>
  </r>
  <r>
    <x v="4"/>
    <x v="2"/>
    <n v="1420"/>
    <n v="63"/>
    <x v="18"/>
    <n v="6.19"/>
    <n v="5914"/>
    <n v="1.0043037693661692"/>
    <n v="1357"/>
    <m/>
  </r>
  <r>
    <x v="4"/>
    <x v="3"/>
    <n v="144"/>
    <n v="53"/>
    <x v="19"/>
    <n v="8.7200000000000006"/>
    <n v="30060"/>
    <n v="1.0008005066943473"/>
    <n v="91"/>
    <m/>
  </r>
  <r>
    <x v="5"/>
    <x v="0"/>
    <n v="1757"/>
    <n v="85"/>
    <x v="20"/>
    <n v="8.74"/>
    <n v="22728"/>
    <n v="1.0287171736255432"/>
    <n v="1672"/>
    <m/>
  </r>
  <r>
    <x v="5"/>
    <x v="1"/>
    <n v="350"/>
    <n v="41"/>
    <x v="21"/>
    <n v="1.91"/>
    <n v="38610"/>
    <n v="1.0012276812319723"/>
    <n v="309"/>
    <m/>
  </r>
  <r>
    <x v="5"/>
    <x v="2"/>
    <n v="987"/>
    <n v="440"/>
    <x v="22"/>
    <n v="4.66"/>
    <n v="2932"/>
    <n v="1.0014032477360766"/>
    <n v="547"/>
    <m/>
  </r>
  <r>
    <x v="5"/>
    <x v="3"/>
    <n v="883"/>
    <n v="369"/>
    <x v="23"/>
    <n v="2.88"/>
    <n v="15071"/>
    <n v="1.0021994574101174"/>
    <n v="514"/>
    <m/>
  </r>
  <r>
    <x v="6"/>
    <x v="0"/>
    <n v="1960"/>
    <n v="115"/>
    <x v="24"/>
    <n v="3.74"/>
    <n v="10740"/>
    <n v="1.0119673864395566"/>
    <n v="1845"/>
    <m/>
  </r>
  <r>
    <x v="6"/>
    <x v="1"/>
    <n v="170"/>
    <n v="334"/>
    <x v="25"/>
    <n v="6.44"/>
    <n v="43420"/>
    <n v="0.99950990060545208"/>
    <n v="-164"/>
    <m/>
  </r>
  <r>
    <x v="6"/>
    <x v="2"/>
    <n v="704"/>
    <n v="275"/>
    <x v="26"/>
    <n v="8.56"/>
    <n v="32393"/>
    <n v="1.0018982132901479"/>
    <n v="429"/>
    <m/>
  </r>
  <r>
    <x v="6"/>
    <x v="3"/>
    <n v="224"/>
    <n v="64"/>
    <x v="27"/>
    <n v="4.5599999999999996"/>
    <n v="28474"/>
    <n v="1.0010211701333265"/>
    <n v="160"/>
    <m/>
  </r>
  <r>
    <x v="7"/>
    <x v="0"/>
    <n v="508"/>
    <n v="349"/>
    <x v="28"/>
    <n v="7.88"/>
    <n v="17328"/>
    <n v="1.0003355761356825"/>
    <n v="159"/>
    <m/>
  </r>
  <r>
    <x v="7"/>
    <x v="1"/>
    <n v="1391"/>
    <n v="430"/>
    <x v="29"/>
    <n v="7.86"/>
    <n v="26067"/>
    <n v="1.0032572737872503"/>
    <n v="961"/>
    <m/>
  </r>
  <r>
    <x v="7"/>
    <x v="2"/>
    <n v="1701"/>
    <n v="385"/>
    <x v="30"/>
    <n v="5.34"/>
    <n v="32763"/>
    <n v="1.0066371458255581"/>
    <n v="1316"/>
    <m/>
  </r>
  <r>
    <x v="7"/>
    <x v="3"/>
    <n v="804"/>
    <n v="487"/>
    <x v="31"/>
    <n v="5.52"/>
    <n v="26452"/>
    <n v="1.0010340418313957"/>
    <n v="317"/>
    <m/>
  </r>
  <r>
    <x v="8"/>
    <x v="0"/>
    <n v="653"/>
    <n v="112"/>
    <x v="32"/>
    <n v="4.05"/>
    <n v="15353"/>
    <n v="1.0228617308992562"/>
    <n v="541"/>
    <m/>
  </r>
  <r>
    <x v="8"/>
    <x v="1"/>
    <n v="160"/>
    <n v="478"/>
    <x v="33"/>
    <n v="7.73"/>
    <n v="4839"/>
    <n v="0.99926902265110318"/>
    <n v="-318"/>
    <m/>
  </r>
  <r>
    <x v="8"/>
    <x v="2"/>
    <n v="1756"/>
    <n v="261"/>
    <x v="34"/>
    <n v="4.3600000000000003"/>
    <n v="39272"/>
    <n v="1.0051986619096303"/>
    <n v="1495"/>
    <m/>
  </r>
  <r>
    <x v="8"/>
    <x v="3"/>
    <n v="576"/>
    <n v="101"/>
    <x v="35"/>
    <n v="3.48"/>
    <n v="16804"/>
    <n v="1.0076001216019457"/>
    <n v="475"/>
    <m/>
  </r>
  <r>
    <x v="9"/>
    <x v="0"/>
    <n v="645"/>
    <n v="293"/>
    <x v="36"/>
    <n v="7.83"/>
    <n v="49303"/>
    <n v="1.0008037116866986"/>
    <n v="352"/>
    <m/>
  </r>
  <r>
    <x v="9"/>
    <x v="1"/>
    <n v="214"/>
    <n v="411"/>
    <x v="37"/>
    <n v="6.11"/>
    <n v="26455"/>
    <n v="0.9984244285554329"/>
    <n v="-197"/>
    <m/>
  </r>
  <r>
    <x v="9"/>
    <x v="2"/>
    <n v="826"/>
    <n v="498"/>
    <x v="38"/>
    <n v="9.43"/>
    <n v="12384"/>
    <n v="1.0007288986075369"/>
    <n v="328"/>
    <m/>
  </r>
  <r>
    <x v="9"/>
    <x v="3"/>
    <n v="460"/>
    <n v="141"/>
    <x v="39"/>
    <n v="4.04"/>
    <n v="49372"/>
    <n v="1.0009948542024014"/>
    <n v="319"/>
    <m/>
  </r>
  <r>
    <x v="10"/>
    <x v="0"/>
    <n v="1528"/>
    <n v="203"/>
    <x v="40"/>
    <n v="6.23"/>
    <n v="47101"/>
    <n v="1.0027085701202809"/>
    <n v="1325"/>
    <m/>
  </r>
  <r>
    <x v="10"/>
    <x v="1"/>
    <n v="1534"/>
    <n v="200"/>
    <x v="41"/>
    <n v="6.01"/>
    <n v="37903"/>
    <n v="1.0043366318609157"/>
    <n v="1334"/>
    <m/>
  </r>
  <r>
    <x v="10"/>
    <x v="2"/>
    <n v="485"/>
    <n v="448"/>
    <x v="42"/>
    <n v="8.5500000000000007"/>
    <n v="33258"/>
    <n v="1.0000850803549461"/>
    <n v="37"/>
    <m/>
  </r>
  <r>
    <x v="10"/>
    <x v="3"/>
    <n v="1210"/>
    <n v="178"/>
    <x v="43"/>
    <n v="5.42"/>
    <n v="6915"/>
    <n v="1.0101134826836009"/>
    <n v="1032"/>
    <m/>
  </r>
  <r>
    <x v="11"/>
    <x v="0"/>
    <n v="215"/>
    <n v="139"/>
    <x v="44"/>
    <n v="3.25"/>
    <n v="35501"/>
    <n v="1.0002335271198732"/>
    <n v="76"/>
    <m/>
  </r>
  <r>
    <x v="11"/>
    <x v="1"/>
    <n v="1078"/>
    <n v="20"/>
    <x v="45"/>
    <n v="8.84"/>
    <n v="14203"/>
    <n v="1.0057523759813836"/>
    <n v="1058"/>
    <m/>
  </r>
  <r>
    <x v="11"/>
    <x v="2"/>
    <n v="1751"/>
    <n v="86"/>
    <x v="46"/>
    <n v="7.24"/>
    <n v="22206"/>
    <n v="1.0088256340939812"/>
    <n v="1665"/>
    <m/>
  </r>
  <r>
    <x v="11"/>
    <x v="3"/>
    <n v="221"/>
    <n v="31"/>
    <x v="47"/>
    <n v="6.19"/>
    <n v="10283"/>
    <n v="1.0021728440241071"/>
    <n v="190"/>
    <m/>
  </r>
  <r>
    <x v="12"/>
    <x v="0"/>
    <n v="1685"/>
    <n v="76"/>
    <x v="48"/>
    <n v="5.71"/>
    <n v="24913"/>
    <n v="1.003545622621469"/>
    <n v="1609"/>
    <m/>
  </r>
  <r>
    <x v="12"/>
    <x v="1"/>
    <n v="248"/>
    <n v="211"/>
    <x v="49"/>
    <n v="9.0399999999999991"/>
    <n v="26925"/>
    <n v="1.0000975275449417"/>
    <n v="37"/>
    <m/>
  </r>
  <r>
    <x v="12"/>
    <x v="2"/>
    <n v="1300"/>
    <n v="71"/>
    <x v="50"/>
    <n v="3.91"/>
    <n v="9942"/>
    <n v="1.0065914381026955"/>
    <n v="1229"/>
    <m/>
  </r>
  <r>
    <x v="12"/>
    <x v="3"/>
    <n v="422"/>
    <n v="394"/>
    <x v="51"/>
    <n v="7.83"/>
    <n v="32929"/>
    <n v="1.0001171332474357"/>
    <n v="28"/>
    <m/>
  </r>
  <r>
    <x v="13"/>
    <x v="0"/>
    <n v="1429"/>
    <n v="182"/>
    <x v="52"/>
    <n v="7.16"/>
    <n v="37829"/>
    <n v="1.0123060829747761"/>
    <n v="1247"/>
    <m/>
  </r>
  <r>
    <x v="13"/>
    <x v="1"/>
    <n v="1520"/>
    <n v="475"/>
    <x v="53"/>
    <n v="6.41"/>
    <n v="24384"/>
    <n v="1.0021026918479945"/>
    <n v="1045"/>
    <m/>
  </r>
  <r>
    <x v="13"/>
    <x v="2"/>
    <n v="557"/>
    <n v="360"/>
    <x v="54"/>
    <n v="8.02"/>
    <n v="25797"/>
    <n v="1.0006179829913513"/>
    <n v="197"/>
    <m/>
  </r>
  <r>
    <x v="13"/>
    <x v="3"/>
    <n v="728"/>
    <n v="395"/>
    <x v="55"/>
    <n v="3.86"/>
    <n v="12646"/>
    <n v="1.0008976442902544"/>
    <n v="333"/>
    <m/>
  </r>
  <r>
    <x v="14"/>
    <x v="0"/>
    <n v="1592"/>
    <n v="20"/>
    <x v="56"/>
    <n v="9.09"/>
    <n v="26663"/>
    <n v="1.0041581361392817"/>
    <n v="1572"/>
    <m/>
  </r>
  <r>
    <x v="14"/>
    <x v="1"/>
    <n v="1842"/>
    <n v="414"/>
    <x v="57"/>
    <n v="1.76"/>
    <n v="40478"/>
    <n v="1.0046435400163889"/>
    <n v="1428"/>
    <m/>
  </r>
  <r>
    <x v="14"/>
    <x v="2"/>
    <n v="751"/>
    <n v="491"/>
    <x v="58"/>
    <n v="9.24"/>
    <n v="15476"/>
    <n v="1.0005990134708913"/>
    <n v="260"/>
    <m/>
  </r>
  <r>
    <x v="14"/>
    <x v="3"/>
    <n v="1409"/>
    <n v="309"/>
    <x v="59"/>
    <n v="8.99"/>
    <n v="10217"/>
    <n v="1.0170323459733985"/>
    <n v="1100"/>
    <m/>
  </r>
  <r>
    <x v="15"/>
    <x v="0"/>
    <n v="778"/>
    <n v="401"/>
    <x v="60"/>
    <n v="3.4"/>
    <n v="21939"/>
    <n v="1.0074222825979957"/>
    <n v="377"/>
    <m/>
  </r>
  <r>
    <x v="15"/>
    <x v="1"/>
    <n v="443"/>
    <n v="345"/>
    <x v="61"/>
    <n v="9.1999999999999993"/>
    <n v="47462"/>
    <n v="1.0002066804172414"/>
    <n v="98"/>
    <m/>
  </r>
  <r>
    <x v="15"/>
    <x v="2"/>
    <n v="1472"/>
    <n v="347"/>
    <x v="62"/>
    <n v="8.59"/>
    <n v="30270"/>
    <n v="1.0028673012960201"/>
    <n v="1125"/>
    <m/>
  </r>
  <r>
    <x v="15"/>
    <x v="3"/>
    <n v="123"/>
    <n v="155"/>
    <x v="63"/>
    <n v="3.5"/>
    <n v="5442"/>
    <n v="0.99973318658595556"/>
    <n v="-32"/>
    <m/>
  </r>
  <r>
    <x v="16"/>
    <x v="0"/>
    <n v="817"/>
    <n v="151"/>
    <x v="64"/>
    <n v="2.36"/>
    <n v="1083"/>
    <n v="1.0015758651286601"/>
    <n v="666"/>
    <m/>
  </r>
  <r>
    <x v="16"/>
    <x v="1"/>
    <n v="198"/>
    <n v="217"/>
    <x v="65"/>
    <n v="7.36"/>
    <n v="11901"/>
    <n v="0.99992075177370043"/>
    <n v="-19"/>
    <m/>
  </r>
  <r>
    <x v="16"/>
    <x v="2"/>
    <n v="1911"/>
    <n v="231"/>
    <x v="66"/>
    <n v="8.5500000000000007"/>
    <n v="24018"/>
    <n v="1.0062566104068287"/>
    <n v="1680"/>
    <m/>
  </r>
  <r>
    <x v="16"/>
    <x v="3"/>
    <n v="1218"/>
    <n v="212"/>
    <x v="67"/>
    <n v="8.1300000000000008"/>
    <n v="38883"/>
    <n v="1.0159235164696012"/>
    <n v="1006"/>
    <m/>
  </r>
  <r>
    <x v="17"/>
    <x v="0"/>
    <n v="1433"/>
    <n v="408"/>
    <x v="68"/>
    <n v="3.3"/>
    <n v="30575"/>
    <n v="1.0027682576721249"/>
    <n v="1025"/>
    <m/>
  </r>
  <r>
    <x v="17"/>
    <x v="1"/>
    <n v="250"/>
    <n v="429"/>
    <x v="69"/>
    <n v="1.77"/>
    <n v="2315"/>
    <n v="0.99960522514296801"/>
    <n v="-179"/>
    <m/>
  </r>
  <r>
    <x v="17"/>
    <x v="2"/>
    <n v="752"/>
    <n v="153"/>
    <x v="70"/>
    <n v="2.09"/>
    <n v="12148"/>
    <n v="1.0092287307798971"/>
    <n v="599"/>
    <m/>
  </r>
  <r>
    <x v="17"/>
    <x v="3"/>
    <n v="1918"/>
    <n v="212"/>
    <x v="71"/>
    <n v="7.36"/>
    <n v="36851"/>
    <n v="1.0180796947859263"/>
    <n v="1706"/>
    <m/>
  </r>
  <r>
    <x v="18"/>
    <x v="0"/>
    <n v="1939"/>
    <n v="67"/>
    <x v="72"/>
    <n v="6.25"/>
    <n v="41215"/>
    <n v="1.0100009082021337"/>
    <n v="1872"/>
    <m/>
  </r>
  <r>
    <x v="18"/>
    <x v="1"/>
    <n v="1929"/>
    <n v="267"/>
    <x v="73"/>
    <n v="1.75"/>
    <n v="43836"/>
    <n v="1.0043810281972676"/>
    <n v="1662"/>
    <m/>
  </r>
  <r>
    <x v="18"/>
    <x v="2"/>
    <n v="437"/>
    <n v="330"/>
    <x v="74"/>
    <n v="4.97"/>
    <n v="4509"/>
    <n v="1.0002245606376683"/>
    <n v="107"/>
    <m/>
  </r>
  <r>
    <x v="18"/>
    <x v="3"/>
    <n v="307"/>
    <n v="189"/>
    <x v="75"/>
    <n v="9.3000000000000007"/>
    <n v="27822"/>
    <n v="1.0010019784829367"/>
    <n v="118"/>
    <m/>
  </r>
  <r>
    <x v="19"/>
    <x v="0"/>
    <n v="1527"/>
    <n v="303"/>
    <x v="76"/>
    <n v="8.9"/>
    <n v="36397"/>
    <n v="1.0031501331857782"/>
    <n v="1224"/>
    <m/>
  </r>
  <r>
    <x v="19"/>
    <x v="1"/>
    <n v="643"/>
    <n v="358"/>
    <x v="77"/>
    <n v="3.88"/>
    <n v="7285"/>
    <n v="1.0018083871090553"/>
    <n v="285"/>
    <m/>
  </r>
  <r>
    <x v="19"/>
    <x v="2"/>
    <n v="201"/>
    <n v="221"/>
    <x v="78"/>
    <n v="5.9"/>
    <n v="33174"/>
    <n v="0.99993543638547056"/>
    <n v="-20"/>
    <m/>
  </r>
  <r>
    <x v="19"/>
    <x v="3"/>
    <n v="414"/>
    <n v="47"/>
    <x v="79"/>
    <n v="1.53"/>
    <n v="6742"/>
    <n v="1.001842572974927"/>
    <n v="367"/>
    <m/>
  </r>
  <r>
    <x v="20"/>
    <x v="0"/>
    <n v="703"/>
    <n v="441"/>
    <x v="80"/>
    <n v="6.5"/>
    <n v="32478"/>
    <n v="1.000733710643565"/>
    <n v="262"/>
    <m/>
  </r>
  <r>
    <x v="20"/>
    <x v="1"/>
    <n v="508"/>
    <n v="69"/>
    <x v="81"/>
    <n v="3.16"/>
    <n v="42824"/>
    <n v="1.0186872126681423"/>
    <n v="439"/>
    <m/>
  </r>
  <r>
    <x v="20"/>
    <x v="2"/>
    <n v="697"/>
    <n v="61"/>
    <x v="82"/>
    <n v="8.25"/>
    <n v="21208"/>
    <n v="1.0024623771231227"/>
    <n v="636"/>
    <m/>
  </r>
  <r>
    <x v="20"/>
    <x v="3"/>
    <n v="1707"/>
    <n v="223"/>
    <x v="83"/>
    <n v="5.41"/>
    <n v="44321"/>
    <n v="1.0057763419096182"/>
    <n v="1484"/>
    <m/>
  </r>
  <r>
    <x v="21"/>
    <x v="0"/>
    <n v="642"/>
    <n v="66"/>
    <x v="84"/>
    <n v="5.85"/>
    <n v="13116"/>
    <n v="1.00166223212379"/>
    <n v="576"/>
    <m/>
  </r>
  <r>
    <x v="21"/>
    <x v="1"/>
    <n v="859"/>
    <n v="473"/>
    <x v="85"/>
    <n v="4.46"/>
    <n v="30214"/>
    <n v="1.0018382090319877"/>
    <n v="386"/>
    <m/>
  </r>
  <r>
    <x v="21"/>
    <x v="2"/>
    <n v="191"/>
    <n v="154"/>
    <x v="86"/>
    <n v="5.22"/>
    <n v="15827"/>
    <n v="1.000153814175847"/>
    <n v="37"/>
    <m/>
  </r>
  <r>
    <x v="21"/>
    <x v="3"/>
    <n v="1814"/>
    <n v="157"/>
    <x v="87"/>
    <n v="1.99"/>
    <n v="46643"/>
    <n v="1.0054180958515762"/>
    <n v="1657"/>
    <m/>
  </r>
  <r>
    <x v="22"/>
    <x v="0"/>
    <n v="1466"/>
    <n v="69"/>
    <x v="88"/>
    <n v="6.85"/>
    <n v="36484"/>
    <n v="1.0254300536998271"/>
    <n v="1397"/>
    <m/>
  </r>
  <r>
    <x v="22"/>
    <x v="1"/>
    <n v="947"/>
    <n v="407"/>
    <x v="89"/>
    <n v="3.32"/>
    <n v="4996"/>
    <n v="1.0016918035252174"/>
    <n v="540"/>
    <m/>
  </r>
  <r>
    <x v="22"/>
    <x v="2"/>
    <n v="1821"/>
    <n v="218"/>
    <x v="90"/>
    <n v="5.68"/>
    <n v="36095"/>
    <n v="1.0036508153411678"/>
    <n v="1603"/>
    <m/>
  </r>
  <r>
    <x v="22"/>
    <x v="3"/>
    <n v="1507"/>
    <n v="463"/>
    <x v="91"/>
    <n v="6.08"/>
    <n v="16443"/>
    <n v="1.0040317597627286"/>
    <n v="1044"/>
    <m/>
  </r>
  <r>
    <x v="23"/>
    <x v="0"/>
    <n v="1075"/>
    <n v="173"/>
    <x v="92"/>
    <n v="4.66"/>
    <n v="47812"/>
    <n v="1.0175503453643351"/>
    <n v="902"/>
    <m/>
  </r>
  <r>
    <x v="23"/>
    <x v="1"/>
    <n v="171"/>
    <n v="277"/>
    <x v="93"/>
    <n v="8.6999999999999993"/>
    <n v="38452"/>
    <n v="0.99965749330334785"/>
    <n v="-106"/>
    <m/>
  </r>
  <r>
    <x v="23"/>
    <x v="2"/>
    <n v="1487"/>
    <n v="337"/>
    <x v="94"/>
    <n v="2.46"/>
    <n v="30428"/>
    <n v="1.0131722123589715"/>
    <n v="1150"/>
    <m/>
  </r>
  <r>
    <x v="23"/>
    <x v="3"/>
    <n v="454"/>
    <n v="105"/>
    <x v="95"/>
    <n v="7.97"/>
    <n v="9269"/>
    <n v="1.002882129968371"/>
    <n v="349"/>
    <m/>
  </r>
  <r>
    <x v="24"/>
    <x v="0"/>
    <n v="187"/>
    <n v="236"/>
    <x v="96"/>
    <n v="9.41"/>
    <n v="29533"/>
    <n v="0.99904085188012604"/>
    <n v="-49"/>
    <m/>
  </r>
  <r>
    <x v="24"/>
    <x v="1"/>
    <n v="513"/>
    <n v="441"/>
    <x v="97"/>
    <n v="2.68"/>
    <n v="39997"/>
    <n v="1.0002124852809675"/>
    <n v="72"/>
    <m/>
  </r>
  <r>
    <x v="24"/>
    <x v="2"/>
    <n v="628"/>
    <n v="183"/>
    <x v="98"/>
    <n v="7.32"/>
    <n v="5391"/>
    <n v="1.0009127774484485"/>
    <n v="445"/>
    <m/>
  </r>
  <r>
    <x v="24"/>
    <x v="3"/>
    <n v="278"/>
    <n v="218"/>
    <x v="99"/>
    <n v="4.68"/>
    <n v="22373"/>
    <n v="1.0001988763486303"/>
    <n v="60"/>
    <m/>
  </r>
  <r>
    <x v="25"/>
    <x v="0"/>
    <n v="1854"/>
    <n v="161"/>
    <x v="100"/>
    <n v="5.17"/>
    <n v="1810"/>
    <n v="1.0059936417126309"/>
    <n v="1693"/>
    <m/>
  </r>
  <r>
    <x v="25"/>
    <x v="1"/>
    <n v="1710"/>
    <n v="378"/>
    <x v="101"/>
    <n v="6.2"/>
    <n v="28498"/>
    <n v="1.0039565022381565"/>
    <n v="1332"/>
    <m/>
  </r>
  <r>
    <x v="25"/>
    <x v="2"/>
    <n v="330"/>
    <n v="232"/>
    <x v="102"/>
    <n v="2.69"/>
    <n v="39530"/>
    <n v="1.001107907975807"/>
    <n v="98"/>
    <m/>
  </r>
  <r>
    <x v="25"/>
    <x v="3"/>
    <n v="1293"/>
    <n v="408"/>
    <x v="103"/>
    <n v="8.9"/>
    <n v="37876"/>
    <n v="1.0141520748380908"/>
    <n v="885"/>
    <m/>
  </r>
  <r>
    <x v="26"/>
    <x v="0"/>
    <n v="1696"/>
    <n v="71"/>
    <x v="104"/>
    <n v="3.79"/>
    <n v="36103"/>
    <n v="1.0038511033114748"/>
    <n v="1625"/>
    <m/>
  </r>
  <r>
    <x v="26"/>
    <x v="1"/>
    <n v="1902"/>
    <n v="196"/>
    <x v="105"/>
    <n v="4.79"/>
    <n v="26103"/>
    <n v="1.0036277109484146"/>
    <n v="1706"/>
    <m/>
  </r>
  <r>
    <x v="26"/>
    <x v="2"/>
    <n v="1441"/>
    <n v="268"/>
    <x v="106"/>
    <n v="6.37"/>
    <n v="3455"/>
    <n v="1.0037850431101245"/>
    <n v="1173"/>
    <m/>
  </r>
  <r>
    <x v="26"/>
    <x v="3"/>
    <n v="452"/>
    <n v="161"/>
    <x v="107"/>
    <n v="2.65"/>
    <n v="40888"/>
    <n v="1.0013151115811165"/>
    <n v="291"/>
    <m/>
  </r>
  <r>
    <x v="27"/>
    <x v="0"/>
    <n v="1494"/>
    <n v="375"/>
    <x v="108"/>
    <n v="1.81"/>
    <n v="22724"/>
    <n v="1.0050721615839286"/>
    <n v="1119"/>
    <m/>
  </r>
  <r>
    <x v="27"/>
    <x v="1"/>
    <n v="1514"/>
    <n v="141"/>
    <x v="109"/>
    <n v="7.47"/>
    <n v="18601"/>
    <n v="1.0383070141175157"/>
    <n v="1373"/>
    <m/>
  </r>
  <r>
    <x v="27"/>
    <x v="2"/>
    <n v="1937"/>
    <n v="210"/>
    <x v="110"/>
    <n v="4.2"/>
    <n v="20861"/>
    <n v="1.0838064735284128"/>
    <n v="1727"/>
    <m/>
  </r>
  <r>
    <x v="27"/>
    <x v="3"/>
    <n v="736"/>
    <n v="163"/>
    <x v="111"/>
    <n v="5.43"/>
    <n v="46625"/>
    <n v="1.0012679964770499"/>
    <n v="573"/>
    <m/>
  </r>
  <r>
    <x v="28"/>
    <x v="0"/>
    <n v="1502"/>
    <n v="70"/>
    <x v="112"/>
    <n v="3.32"/>
    <n v="20692"/>
    <n v="1.0030759118725472"/>
    <n v="1432"/>
    <m/>
  </r>
  <r>
    <x v="28"/>
    <x v="1"/>
    <n v="1623"/>
    <n v="246"/>
    <x v="113"/>
    <n v="8.11"/>
    <n v="18656"/>
    <n v="1.0033115688467227"/>
    <n v="1377"/>
    <m/>
  </r>
  <r>
    <x v="28"/>
    <x v="2"/>
    <n v="1592"/>
    <n v="233"/>
    <x v="114"/>
    <n v="6.66"/>
    <n v="13316"/>
    <n v="1.0041536387893013"/>
    <n v="1359"/>
    <m/>
  </r>
  <r>
    <x v="28"/>
    <x v="3"/>
    <n v="1004"/>
    <n v="128"/>
    <x v="115"/>
    <n v="8.09"/>
    <n v="49558"/>
    <n v="1.0017917737946946"/>
    <n v="876"/>
    <m/>
  </r>
  <r>
    <x v="29"/>
    <x v="0"/>
    <n v="1092"/>
    <n v="408"/>
    <x v="116"/>
    <n v="8.44"/>
    <n v="4683"/>
    <n v="1.0024359408109118"/>
    <n v="684"/>
    <m/>
  </r>
  <r>
    <x v="29"/>
    <x v="1"/>
    <n v="1155"/>
    <n v="425"/>
    <x v="117"/>
    <n v="2.02"/>
    <n v="47502"/>
    <n v="1.0078202834584935"/>
    <n v="730"/>
    <m/>
  </r>
  <r>
    <x v="29"/>
    <x v="2"/>
    <n v="1137"/>
    <n v="226"/>
    <x v="118"/>
    <n v="7.74"/>
    <n v="35359"/>
    <n v="1.0112304145761166"/>
    <n v="911"/>
    <m/>
  </r>
  <r>
    <x v="29"/>
    <x v="3"/>
    <n v="1900"/>
    <n v="311"/>
    <x v="119"/>
    <n v="2.89"/>
    <n v="14154"/>
    <n v="1.063113158835445"/>
    <n v="1589"/>
    <m/>
  </r>
  <r>
    <x v="30"/>
    <x v="0"/>
    <n v="1814"/>
    <n v="49"/>
    <x v="120"/>
    <n v="1.76"/>
    <n v="4313"/>
    <n v="1.0125351552512714"/>
    <n v="1765"/>
    <m/>
  </r>
  <r>
    <x v="30"/>
    <x v="1"/>
    <n v="1980"/>
    <n v="204"/>
    <x v="121"/>
    <n v="3.09"/>
    <n v="25140"/>
    <n v="1.0046806929323118"/>
    <n v="1776"/>
    <m/>
  </r>
  <r>
    <x v="30"/>
    <x v="2"/>
    <n v="1786"/>
    <n v="257"/>
    <x v="122"/>
    <n v="4.68"/>
    <n v="9118"/>
    <n v="1.005563418973842"/>
    <n v="1529"/>
    <m/>
  </r>
  <r>
    <x v="30"/>
    <x v="3"/>
    <n v="1495"/>
    <n v="35"/>
    <x v="123"/>
    <n v="4.4800000000000004"/>
    <n v="39931"/>
    <n v="1.0106690050787388"/>
    <n v="1460"/>
    <m/>
  </r>
  <r>
    <x v="31"/>
    <x v="0"/>
    <n v="1013"/>
    <n v="110"/>
    <x v="124"/>
    <n v="5.3"/>
    <n v="37132"/>
    <n v="1.001936181070453"/>
    <n v="903"/>
    <m/>
  </r>
  <r>
    <x v="31"/>
    <x v="1"/>
    <n v="816"/>
    <n v="196"/>
    <x v="125"/>
    <n v="8.1999999999999993"/>
    <n v="17951"/>
    <n v="1.0064766839378239"/>
    <n v="620"/>
    <m/>
  </r>
  <r>
    <x v="31"/>
    <x v="2"/>
    <n v="1633"/>
    <n v="445"/>
    <x v="126"/>
    <n v="2.2200000000000002"/>
    <n v="2798"/>
    <n v="1.0032008104408927"/>
    <n v="1188"/>
    <m/>
  </r>
  <r>
    <x v="31"/>
    <x v="3"/>
    <n v="891"/>
    <n v="45"/>
    <x v="127"/>
    <n v="8.33"/>
    <n v="15045"/>
    <n v="1.0088669950738915"/>
    <n v="846"/>
    <m/>
  </r>
  <r>
    <x v="32"/>
    <x v="0"/>
    <n v="1855"/>
    <n v="133"/>
    <x v="128"/>
    <n v="3.3"/>
    <n v="14548"/>
    <n v="1.0049282654051224"/>
    <n v="1722"/>
    <m/>
  </r>
  <r>
    <x v="32"/>
    <x v="1"/>
    <n v="651"/>
    <n v="353"/>
    <x v="129"/>
    <n v="5.61"/>
    <n v="45708"/>
    <n v="1.0013262186302565"/>
    <n v="298"/>
    <m/>
  </r>
  <r>
    <x v="32"/>
    <x v="2"/>
    <n v="118"/>
    <n v="262"/>
    <x v="130"/>
    <n v="2.56"/>
    <n v="12350"/>
    <n v="0.99970485513306118"/>
    <n v="-144"/>
    <m/>
  </r>
  <r>
    <x v="32"/>
    <x v="3"/>
    <n v="1331"/>
    <n v="430"/>
    <x v="131"/>
    <n v="3.29"/>
    <n v="40868"/>
    <n v="1.0624090877606152"/>
    <n v="901"/>
    <m/>
  </r>
  <r>
    <x v="33"/>
    <x v="0"/>
    <n v="1748"/>
    <n v="176"/>
    <x v="132"/>
    <n v="9.24"/>
    <n v="43122"/>
    <n v="1.0040971536250167"/>
    <n v="1572"/>
    <m/>
  </r>
  <r>
    <x v="33"/>
    <x v="1"/>
    <n v="663"/>
    <n v="236"/>
    <x v="133"/>
    <n v="4.51"/>
    <n v="23853"/>
    <n v="1.0008905295209494"/>
    <n v="427"/>
    <m/>
  </r>
  <r>
    <x v="33"/>
    <x v="2"/>
    <n v="1040"/>
    <n v="149"/>
    <x v="134"/>
    <n v="5.23"/>
    <n v="45380"/>
    <n v="1.0071621491270377"/>
    <n v="891"/>
    <m/>
  </r>
  <r>
    <x v="33"/>
    <x v="3"/>
    <n v="1166"/>
    <n v="442"/>
    <x v="135"/>
    <n v="4.68"/>
    <n v="7705"/>
    <n v="1.002148693125666"/>
    <n v="724"/>
    <m/>
  </r>
  <r>
    <x v="34"/>
    <x v="0"/>
    <n v="115"/>
    <n v="281"/>
    <x v="136"/>
    <n v="9.23"/>
    <n v="25525"/>
    <n v="0.99953535890725376"/>
    <n v="-166"/>
    <m/>
  </r>
  <r>
    <x v="34"/>
    <x v="1"/>
    <n v="1249"/>
    <n v="351"/>
    <x v="137"/>
    <n v="6.37"/>
    <n v="20560"/>
    <n v="1.0027948348464242"/>
    <n v="898"/>
    <m/>
  </r>
  <r>
    <x v="34"/>
    <x v="2"/>
    <n v="1501"/>
    <n v="75"/>
    <x v="138"/>
    <n v="2.0099999999999998"/>
    <n v="19119"/>
    <n v="1.0054309533874906"/>
    <n v="1426"/>
    <m/>
  </r>
  <r>
    <x v="34"/>
    <x v="3"/>
    <n v="1411"/>
    <n v="186"/>
    <x v="139"/>
    <n v="3.72"/>
    <n v="43999"/>
    <n v="1.0026534161921203"/>
    <n v="1225"/>
    <m/>
  </r>
  <r>
    <x v="35"/>
    <x v="0"/>
    <n v="1556"/>
    <n v="476"/>
    <x v="140"/>
    <n v="3.89"/>
    <n v="10825"/>
    <n v="1.0030720567989169"/>
    <n v="1080"/>
    <m/>
  </r>
  <r>
    <x v="35"/>
    <x v="1"/>
    <n v="1159"/>
    <n v="411"/>
    <x v="141"/>
    <n v="8.6999999999999993"/>
    <n v="40323"/>
    <n v="1.0055005257855529"/>
    <n v="748"/>
    <m/>
  </r>
  <r>
    <x v="35"/>
    <x v="2"/>
    <n v="927"/>
    <n v="358"/>
    <x v="142"/>
    <n v="6.95"/>
    <n v="48270"/>
    <n v="1.0032046588643455"/>
    <n v="569"/>
    <m/>
  </r>
  <r>
    <x v="35"/>
    <x v="3"/>
    <n v="152"/>
    <n v="355"/>
    <x v="143"/>
    <n v="9.48"/>
    <n v="18001"/>
    <n v="0.99925027514532849"/>
    <n v="-203"/>
    <m/>
  </r>
  <r>
    <x v="36"/>
    <x v="0"/>
    <n v="1957"/>
    <n v="234"/>
    <x v="144"/>
    <n v="4.6100000000000003"/>
    <n v="3314"/>
    <n v="1.0077568587198258"/>
    <n v="1723"/>
    <m/>
  </r>
  <r>
    <x v="36"/>
    <x v="1"/>
    <n v="1294"/>
    <n v="382"/>
    <x v="145"/>
    <n v="8.0299999999999994"/>
    <n v="23489"/>
    <n v="1.0029427518601934"/>
    <n v="912"/>
    <m/>
  </r>
  <r>
    <x v="36"/>
    <x v="2"/>
    <n v="1587"/>
    <n v="385"/>
    <x v="146"/>
    <n v="6.99"/>
    <n v="42832"/>
    <n v="1.009495820890806"/>
    <n v="1202"/>
    <m/>
  </r>
  <r>
    <x v="36"/>
    <x v="3"/>
    <n v="1707"/>
    <n v="263"/>
    <x v="147"/>
    <n v="9.0299999999999994"/>
    <n v="24494"/>
    <n v="1.0029756017144742"/>
    <n v="1444"/>
    <m/>
  </r>
  <r>
    <x v="37"/>
    <x v="0"/>
    <n v="1138"/>
    <n v="173"/>
    <x v="148"/>
    <n v="2.86"/>
    <n v="44097"/>
    <n v="1.002129100725218"/>
    <n v="965"/>
    <m/>
  </r>
  <r>
    <x v="37"/>
    <x v="1"/>
    <n v="1895"/>
    <n v="305"/>
    <x v="149"/>
    <n v="3.85"/>
    <n v="31853"/>
    <n v="1.0151476178227443"/>
    <n v="1590"/>
    <m/>
  </r>
  <r>
    <x v="37"/>
    <x v="2"/>
    <n v="362"/>
    <n v="399"/>
    <x v="150"/>
    <n v="7.3"/>
    <n v="37636"/>
    <n v="0.9997458930827976"/>
    <n v="-37"/>
    <m/>
  </r>
  <r>
    <x v="37"/>
    <x v="3"/>
    <n v="1662"/>
    <n v="487"/>
    <x v="151"/>
    <n v="9.08"/>
    <n v="22996"/>
    <n v="1.0110869975467069"/>
    <n v="1175"/>
    <m/>
  </r>
  <r>
    <x v="38"/>
    <x v="0"/>
    <n v="1440"/>
    <n v="65"/>
    <x v="152"/>
    <n v="4.34"/>
    <n v="49772"/>
    <n v="1.0108675033985648"/>
    <n v="1375"/>
    <m/>
  </r>
  <r>
    <x v="38"/>
    <x v="1"/>
    <n v="1884"/>
    <n v="177"/>
    <x v="153"/>
    <n v="7.8"/>
    <n v="22713"/>
    <n v="1.0074073109768797"/>
    <n v="1707"/>
    <m/>
  </r>
  <r>
    <x v="38"/>
    <x v="2"/>
    <n v="861"/>
    <n v="153"/>
    <x v="154"/>
    <n v="3.85"/>
    <n v="8718"/>
    <n v="1.0022333891680626"/>
    <n v="708"/>
    <m/>
  </r>
  <r>
    <x v="38"/>
    <x v="3"/>
    <n v="1063"/>
    <n v="47"/>
    <x v="155"/>
    <n v="6.58"/>
    <n v="39031"/>
    <n v="1.0021885278918832"/>
    <n v="1016"/>
    <m/>
  </r>
  <r>
    <x v="39"/>
    <x v="0"/>
    <n v="1371"/>
    <n v="56"/>
    <x v="156"/>
    <n v="8.6199999999999992"/>
    <n v="33799"/>
    <n v="1.0051052298518124"/>
    <n v="1315"/>
    <m/>
  </r>
  <r>
    <x v="39"/>
    <x v="1"/>
    <n v="345"/>
    <n v="464"/>
    <x v="157"/>
    <n v="4.55"/>
    <n v="20553"/>
    <n v="0.99967564414619459"/>
    <n v="-119"/>
    <m/>
  </r>
  <r>
    <x v="39"/>
    <x v="2"/>
    <n v="946"/>
    <n v="47"/>
    <x v="158"/>
    <n v="8.33"/>
    <n v="10002"/>
    <n v="1.0019268070513851"/>
    <n v="899"/>
    <m/>
  </r>
  <r>
    <x v="39"/>
    <x v="3"/>
    <n v="510"/>
    <n v="195"/>
    <x v="159"/>
    <n v="9.4"/>
    <n v="30987"/>
    <n v="1.0014029055733207"/>
    <n v="315"/>
    <m/>
  </r>
  <r>
    <x v="40"/>
    <x v="0"/>
    <n v="393"/>
    <n v="181"/>
    <x v="160"/>
    <n v="7.23"/>
    <n v="6296"/>
    <n v="1.0004587334628749"/>
    <n v="212"/>
    <m/>
  </r>
  <r>
    <x v="40"/>
    <x v="1"/>
    <n v="1098"/>
    <n v="190"/>
    <x v="161"/>
    <n v="9.39"/>
    <n v="21539"/>
    <n v="1.0026639909400836"/>
    <n v="908"/>
    <m/>
  </r>
  <r>
    <x v="40"/>
    <x v="2"/>
    <n v="1399"/>
    <n v="49"/>
    <x v="162"/>
    <n v="5.12"/>
    <n v="14722"/>
    <n v="1.1082511426509503"/>
    <n v="1350"/>
    <m/>
  </r>
  <r>
    <x v="40"/>
    <x v="3"/>
    <n v="1658"/>
    <n v="416"/>
    <x v="163"/>
    <n v="6.11"/>
    <n v="11383"/>
    <n v="1.0126223360468307"/>
    <n v="1242"/>
    <m/>
  </r>
  <r>
    <x v="41"/>
    <x v="0"/>
    <n v="1102"/>
    <n v="422"/>
    <x v="164"/>
    <n v="7.74"/>
    <n v="9480"/>
    <n v="1.0016572027392587"/>
    <n v="680"/>
    <m/>
  </r>
  <r>
    <x v="41"/>
    <x v="1"/>
    <n v="1358"/>
    <n v="242"/>
    <x v="165"/>
    <n v="4.9400000000000004"/>
    <n v="29116"/>
    <n v="1.0032619275185675"/>
    <n v="1116"/>
    <m/>
  </r>
  <r>
    <x v="41"/>
    <x v="2"/>
    <n v="1077"/>
    <n v="216"/>
    <x v="166"/>
    <n v="1.8"/>
    <n v="14068"/>
    <n v="1.069173294769824"/>
    <n v="861"/>
    <m/>
  </r>
  <r>
    <x v="41"/>
    <x v="3"/>
    <n v="1596"/>
    <n v="211"/>
    <x v="167"/>
    <n v="8.64"/>
    <n v="35801"/>
    <n v="1.0796892980437285"/>
    <n v="1385"/>
    <m/>
  </r>
  <r>
    <x v="42"/>
    <x v="0"/>
    <n v="490"/>
    <n v="29"/>
    <x v="168"/>
    <n v="1.53"/>
    <n v="49077"/>
    <n v="1.001263671500233"/>
    <n v="461"/>
    <m/>
  </r>
  <r>
    <x v="42"/>
    <x v="1"/>
    <n v="609"/>
    <n v="135"/>
    <x v="169"/>
    <n v="8.52"/>
    <n v="21453"/>
    <n v="1.0012687162411738"/>
    <n v="474"/>
    <m/>
  </r>
  <r>
    <x v="42"/>
    <x v="2"/>
    <n v="364"/>
    <n v="72"/>
    <x v="170"/>
    <n v="5.53"/>
    <n v="21061"/>
    <n v="1.0013832962243592"/>
    <n v="292"/>
    <m/>
  </r>
  <r>
    <x v="42"/>
    <x v="3"/>
    <n v="442"/>
    <n v="53"/>
    <x v="171"/>
    <n v="1.87"/>
    <n v="20059"/>
    <n v="1.0008802279088818"/>
    <n v="389"/>
    <m/>
  </r>
  <r>
    <x v="43"/>
    <x v="0"/>
    <n v="1033"/>
    <n v="392"/>
    <x v="172"/>
    <n v="6.27"/>
    <n v="23140"/>
    <n v="1.0022667798288423"/>
    <n v="641"/>
    <m/>
  </r>
  <r>
    <x v="43"/>
    <x v="1"/>
    <n v="988"/>
    <n v="474"/>
    <x v="173"/>
    <n v="9.4600000000000009"/>
    <n v="23461"/>
    <n v="1.0013889264193261"/>
    <n v="514"/>
    <m/>
  </r>
  <r>
    <x v="43"/>
    <x v="2"/>
    <n v="1946"/>
    <n v="270"/>
    <x v="174"/>
    <n v="7.5"/>
    <n v="11805"/>
    <n v="1.0084497101083942"/>
    <n v="1676"/>
    <m/>
  </r>
  <r>
    <x v="43"/>
    <x v="3"/>
    <n v="1957"/>
    <n v="490"/>
    <x v="175"/>
    <n v="4.7300000000000004"/>
    <n v="15969"/>
    <n v="1.0033667947287974"/>
    <n v="1467"/>
    <m/>
  </r>
  <r>
    <x v="44"/>
    <x v="0"/>
    <n v="559"/>
    <n v="392"/>
    <x v="176"/>
    <n v="3.19"/>
    <n v="2436"/>
    <n v="1.0021195852212872"/>
    <n v="167"/>
    <m/>
  </r>
  <r>
    <x v="44"/>
    <x v="1"/>
    <n v="1307"/>
    <n v="278"/>
    <x v="177"/>
    <n v="2.4900000000000002"/>
    <n v="47603"/>
    <n v="1.0104365288652684"/>
    <n v="1029"/>
    <m/>
  </r>
  <r>
    <x v="44"/>
    <x v="2"/>
    <n v="1432"/>
    <n v="425"/>
    <x v="178"/>
    <n v="4.5"/>
    <n v="42964"/>
    <n v="1.0340329176383116"/>
    <n v="1007"/>
    <m/>
  </r>
  <r>
    <x v="44"/>
    <x v="3"/>
    <n v="623"/>
    <n v="414"/>
    <x v="179"/>
    <n v="6.49"/>
    <n v="39923"/>
    <n v="1.000719810989344"/>
    <n v="209"/>
    <m/>
  </r>
  <r>
    <x v="45"/>
    <x v="0"/>
    <n v="198"/>
    <n v="358"/>
    <x v="180"/>
    <n v="6.73"/>
    <n v="2293"/>
    <n v="0.99760055187306917"/>
    <n v="-160"/>
    <m/>
  </r>
  <r>
    <x v="45"/>
    <x v="1"/>
    <n v="198"/>
    <n v="373"/>
    <x v="181"/>
    <n v="4.83"/>
    <n v="25920"/>
    <n v="0.99752499752499757"/>
    <n v="-175"/>
    <m/>
  </r>
  <r>
    <x v="45"/>
    <x v="2"/>
    <n v="353"/>
    <n v="300"/>
    <x v="182"/>
    <n v="5.3"/>
    <n v="11035"/>
    <n v="1.0003719115552219"/>
    <n v="53"/>
    <m/>
  </r>
  <r>
    <x v="45"/>
    <x v="3"/>
    <n v="520"/>
    <n v="375"/>
    <x v="183"/>
    <n v="6.54"/>
    <n v="20733"/>
    <n v="1.0003923956430554"/>
    <n v="145"/>
    <m/>
  </r>
  <r>
    <x v="46"/>
    <x v="0"/>
    <n v="961"/>
    <n v="358"/>
    <x v="184"/>
    <n v="6.8"/>
    <n v="18693"/>
    <n v="1.0095802484827301"/>
    <n v="603"/>
    <m/>
  </r>
  <r>
    <x v="46"/>
    <x v="1"/>
    <n v="1375"/>
    <n v="330"/>
    <x v="185"/>
    <n v="2.6"/>
    <n v="7875"/>
    <n v="1.0027690774864726"/>
    <n v="1045"/>
    <m/>
  </r>
  <r>
    <x v="46"/>
    <x v="2"/>
    <n v="1147"/>
    <n v="388"/>
    <x v="186"/>
    <n v="2.44"/>
    <n v="8471"/>
    <n v="1.0022734693021738"/>
    <n v="759"/>
    <m/>
  </r>
  <r>
    <x v="46"/>
    <x v="3"/>
    <n v="1707"/>
    <n v="74"/>
    <x v="187"/>
    <n v="3.09"/>
    <n v="14090"/>
    <n v="1.0060267642955736"/>
    <n v="1633"/>
    <m/>
  </r>
  <r>
    <x v="47"/>
    <x v="0"/>
    <n v="1693"/>
    <n v="154"/>
    <x v="188"/>
    <n v="5.69"/>
    <n v="14216"/>
    <n v="1.0034511059684623"/>
    <n v="1539"/>
    <m/>
  </r>
  <r>
    <x v="47"/>
    <x v="1"/>
    <n v="833"/>
    <n v="380"/>
    <x v="189"/>
    <n v="3.86"/>
    <n v="3582"/>
    <n v="1.0020148556687274"/>
    <n v="453"/>
    <m/>
  </r>
  <r>
    <x v="47"/>
    <x v="2"/>
    <n v="1222"/>
    <n v="274"/>
    <x v="190"/>
    <n v="3.16"/>
    <n v="32500"/>
    <n v="1.0019454574184929"/>
    <n v="948"/>
    <m/>
  </r>
  <r>
    <x v="47"/>
    <x v="3"/>
    <n v="777"/>
    <n v="140"/>
    <x v="191"/>
    <n v="1.6"/>
    <n v="6832"/>
    <n v="1.0557061652820288"/>
    <n v="637"/>
    <m/>
  </r>
  <r>
    <x v="48"/>
    <x v="0"/>
    <n v="1957"/>
    <n v="76"/>
    <x v="192"/>
    <n v="6.09"/>
    <n v="33381"/>
    <n v="1.0041995793722733"/>
    <n v="1881"/>
    <m/>
  </r>
  <r>
    <x v="48"/>
    <x v="1"/>
    <n v="405"/>
    <n v="66"/>
    <x v="193"/>
    <n v="5.59"/>
    <n v="48419"/>
    <n v="1.0008096566482603"/>
    <n v="339"/>
    <m/>
  </r>
  <r>
    <x v="48"/>
    <x v="2"/>
    <n v="1581"/>
    <n v="71"/>
    <x v="194"/>
    <n v="3.55"/>
    <n v="16149"/>
    <n v="1.0031174901520343"/>
    <n v="1510"/>
    <m/>
  </r>
  <r>
    <x v="48"/>
    <x v="3"/>
    <n v="1035"/>
    <n v="171"/>
    <x v="195"/>
    <n v="5.21"/>
    <n v="7541"/>
    <n v="1.0058190830903102"/>
    <n v="864"/>
    <m/>
  </r>
  <r>
    <x v="49"/>
    <x v="0"/>
    <n v="1765"/>
    <n v="109"/>
    <x v="196"/>
    <n v="1.82"/>
    <n v="20042"/>
    <n v="1.0035361871958419"/>
    <n v="1656"/>
    <m/>
  </r>
  <r>
    <x v="49"/>
    <x v="1"/>
    <n v="837"/>
    <n v="430"/>
    <x v="197"/>
    <n v="4"/>
    <n v="49400"/>
    <n v="1.0011156186612575"/>
    <n v="407"/>
    <m/>
  </r>
  <r>
    <x v="49"/>
    <x v="2"/>
    <n v="337"/>
    <n v="68"/>
    <x v="198"/>
    <n v="7.57"/>
    <n v="4007"/>
    <n v="1.0005895270196232"/>
    <n v="269"/>
    <m/>
  </r>
  <r>
    <x v="49"/>
    <x v="3"/>
    <n v="119"/>
    <n v="456"/>
    <x v="199"/>
    <n v="6.81"/>
    <n v="12174"/>
    <n v="0.99591802126989515"/>
    <n v="-337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s v="2024-12-23"/>
    <x v="0"/>
    <s v="Explore the latest reel on Myntra! Trendy styles await."/>
    <n v="1461"/>
    <n v="184"/>
    <n v="344"/>
    <n v="21915"/>
    <n v="21675"/>
    <n v="15"/>
    <s v="#MyntraSale"/>
    <x v="0"/>
    <n v="1989"/>
  </r>
  <r>
    <s v="P002"/>
    <s v="Twitter"/>
    <s v="2025-04-03"/>
    <x v="1"/>
    <s v="Explore the latest text on Myntra! Trendy styles await."/>
    <n v="4054"/>
    <n v="389"/>
    <n v="493"/>
    <n v="64864"/>
    <n v="64383"/>
    <n v="117"/>
    <s v="#MyntraFashion"/>
    <x v="1"/>
    <n v="4936"/>
  </r>
  <r>
    <s v="P003"/>
    <s v="YouTube"/>
    <s v="2025-05-12"/>
    <x v="0"/>
    <s v="Explore the latest reel on Myntra! Trendy styles await."/>
    <n v="2795"/>
    <n v="105"/>
    <n v="49"/>
    <n v="53105"/>
    <n v="52307"/>
    <n v="204"/>
    <s v="#MyntraFashion,#MyntraSale"/>
    <x v="0"/>
    <n v="2949"/>
  </r>
  <r>
    <s v="P004"/>
    <s v="Instagram"/>
    <s v="2024-08-12"/>
    <x v="2"/>
    <s v="Explore the latest story on Myntra! Trendy styles await."/>
    <n v="2404"/>
    <n v="363"/>
    <n v="138"/>
    <n v="19232"/>
    <n v="18636"/>
    <n v="128"/>
    <s v="#MyntraSale"/>
    <x v="0"/>
    <n v="2905"/>
  </r>
  <r>
    <s v="P005"/>
    <s v="YouTube"/>
    <s v="2024-06-26"/>
    <x v="0"/>
    <s v="Explore the latest reel on Myntra! Trendy styles await."/>
    <n v="3557"/>
    <n v="687"/>
    <n v="424"/>
    <n v="71140"/>
    <n v="70701"/>
    <n v="224"/>
    <s v="#StyleWithMyntra,#MyntraFashion"/>
    <x v="2"/>
    <n v="4668"/>
  </r>
  <r>
    <s v="P006"/>
    <s v="Facebook"/>
    <s v="2024-10-31"/>
    <x v="3"/>
    <s v="Explore the latest carousel on Myntra! Trendy styles await."/>
    <n v="2945"/>
    <n v="930"/>
    <n v="355"/>
    <n v="23560"/>
    <n v="23275"/>
    <n v="256"/>
    <s v="#MyntraTrend"/>
    <x v="1"/>
    <n v="4230"/>
  </r>
  <r>
    <s v="P007"/>
    <s v="Twitter"/>
    <s v="2024-06-24"/>
    <x v="3"/>
    <s v="Explore the latest carousel on Myntra! Trendy styles await."/>
    <n v="3860"/>
    <n v="201"/>
    <n v="279"/>
    <n v="61760"/>
    <n v="61660"/>
    <n v="235"/>
    <s v="#MyntraTrend"/>
    <x v="2"/>
    <n v="4340"/>
  </r>
  <r>
    <s v="P008"/>
    <s v="YouTube"/>
    <s v="2024-07-13"/>
    <x v="4"/>
    <s v="Explore the latest image on Myntra! Trendy styles await."/>
    <n v="3929"/>
    <n v="262"/>
    <n v="278"/>
    <n v="43219"/>
    <n v="42841"/>
    <n v="39"/>
    <s v="#MyntraFashion,#MyntraSale"/>
    <x v="2"/>
    <n v="4469"/>
  </r>
  <r>
    <s v="P009"/>
    <s v="Facebook"/>
    <s v="2024-08-30"/>
    <x v="1"/>
    <s v="Explore the latest text on Myntra! Trendy styles await."/>
    <n v="3784"/>
    <n v="808"/>
    <n v="404"/>
    <n v="56760"/>
    <n v="56343"/>
    <n v="131"/>
    <s v="#MyntraFashion,#MyntraSale"/>
    <x v="2"/>
    <n v="4996"/>
  </r>
  <r>
    <s v="P010"/>
    <s v="Facebook"/>
    <s v="2025-03-11"/>
    <x v="4"/>
    <s v="Explore the latest image on Myntra! Trendy styles await."/>
    <n v="4241"/>
    <n v="902"/>
    <n v="47"/>
    <n v="72097"/>
    <n v="71598"/>
    <n v="167"/>
    <s v="#MyntraTrend"/>
    <x v="3"/>
    <n v="5190"/>
  </r>
  <r>
    <s v="P011"/>
    <s v="Instagram"/>
    <s v="2025-02-02"/>
    <x v="2"/>
    <s v="Explore the latest story on Myntra! Trendy styles await."/>
    <n v="1792"/>
    <n v="614"/>
    <n v="497"/>
    <n v="25088"/>
    <n v="24675"/>
    <n v="65"/>
    <s v="#StyleWithMyntra"/>
    <x v="0"/>
    <n v="2903"/>
  </r>
  <r>
    <s v="P012"/>
    <s v="Facebook"/>
    <s v="2024-07-21"/>
    <x v="0"/>
    <s v="Explore the latest reel on Myntra! Trendy styles await."/>
    <n v="1946"/>
    <n v="686"/>
    <n v="377"/>
    <n v="23352"/>
    <n v="22982"/>
    <n v="213"/>
    <s v="#StyleWithMyntra,#MyntraSale"/>
    <x v="2"/>
    <n v="3009"/>
  </r>
  <r>
    <s v="P013"/>
    <s v="YouTube"/>
    <s v="2024-11-18"/>
    <x v="3"/>
    <s v="Explore the latest carousel on Myntra! Trendy styles await."/>
    <n v="1171"/>
    <n v="286"/>
    <n v="231"/>
    <n v="22249"/>
    <n v="21282"/>
    <n v="114"/>
    <s v="#MyntraFashion"/>
    <x v="3"/>
    <n v="1688"/>
  </r>
  <r>
    <s v="P014"/>
    <s v="Facebook"/>
    <s v="2025-02-16"/>
    <x v="2"/>
    <s v="Explore the latest story on Myntra! Trendy styles await."/>
    <n v="4242"/>
    <n v="555"/>
    <n v="131"/>
    <n v="33936"/>
    <n v="33802"/>
    <n v="265"/>
    <s v="#MyntraSale,#MyntraFashion"/>
    <x v="2"/>
    <n v="4928"/>
  </r>
  <r>
    <s v="P015"/>
    <s v="Facebook"/>
    <s v="2024-10-24"/>
    <x v="5"/>
    <s v="Explore the latest video on Myntra! Trendy styles await."/>
    <n v="3888"/>
    <n v="604"/>
    <n v="128"/>
    <n v="77760"/>
    <n v="77167"/>
    <n v="20"/>
    <s v="#MyntraFashion,#FashionDeals"/>
    <x v="0"/>
    <n v="4620"/>
  </r>
  <r>
    <s v="P016"/>
    <s v="Facebook"/>
    <s v="2024-08-26"/>
    <x v="1"/>
    <s v="Explore the latest text on Myntra! Trendy styles await."/>
    <n v="3452"/>
    <n v="377"/>
    <n v="360"/>
    <n v="55232"/>
    <n v="55075"/>
    <n v="87"/>
    <s v="#MyntraSale,#FashionDeals"/>
    <x v="2"/>
    <n v="4189"/>
  </r>
  <r>
    <s v="P017"/>
    <s v="Facebook"/>
    <s v="2025-05-05"/>
    <x v="1"/>
    <s v="Explore the latest text on Myntra! Trendy styles await."/>
    <n v="4441"/>
    <n v="511"/>
    <n v="70"/>
    <n v="53292"/>
    <n v="53082"/>
    <n v="159"/>
    <s v="#FashionDeals"/>
    <x v="2"/>
    <n v="5022"/>
  </r>
  <r>
    <s v="P018"/>
    <s v="Instagram"/>
    <s v="2024-08-19"/>
    <x v="0"/>
    <s v="Explore the latest reel on Myntra! Trendy styles await."/>
    <n v="3000"/>
    <n v="382"/>
    <n v="325"/>
    <n v="36000"/>
    <n v="35819"/>
    <n v="19"/>
    <s v="#StyleWithMyntra"/>
    <x v="1"/>
    <n v="3707"/>
  </r>
  <r>
    <s v="P019"/>
    <s v="Instagram"/>
    <s v="2024-06-23"/>
    <x v="5"/>
    <s v="Explore the latest video on Myntra! Trendy styles await."/>
    <n v="1071"/>
    <n v="519"/>
    <n v="22"/>
    <n v="16065"/>
    <n v="15865"/>
    <n v="103"/>
    <s v="#MyntraSale,#StyleWithMyntra"/>
    <x v="2"/>
    <n v="1612"/>
  </r>
  <r>
    <s v="P020"/>
    <s v="Instagram"/>
    <s v="2024-09-09"/>
    <x v="3"/>
    <s v="Explore the latest carousel on Myntra! Trendy styles await."/>
    <n v="4054"/>
    <n v="488"/>
    <n v="373"/>
    <n v="77026"/>
    <n v="76881"/>
    <n v="25"/>
    <s v="#MyntraFashion,#MyntraSale"/>
    <x v="2"/>
    <n v="4915"/>
  </r>
  <r>
    <s v="P021"/>
    <s v="Instagram"/>
    <s v="2025-01-04"/>
    <x v="0"/>
    <s v="Explore the latest reel on Myntra! Trendy styles await."/>
    <n v="4838"/>
    <n v="640"/>
    <n v="128"/>
    <n v="72570"/>
    <n v="72396"/>
    <n v="83"/>
    <s v="#StyleWithMyntra,#MyntraTrend"/>
    <x v="2"/>
    <n v="5606"/>
  </r>
  <r>
    <s v="P022"/>
    <s v="Facebook"/>
    <s v="2025-02-27"/>
    <x v="1"/>
    <s v="Explore the latest text on Myntra! Trendy styles await."/>
    <n v="1570"/>
    <n v="187"/>
    <n v="260"/>
    <n v="25120"/>
    <n v="24613"/>
    <n v="133"/>
    <s v="#MyntraSale"/>
    <x v="3"/>
    <n v="2017"/>
  </r>
  <r>
    <s v="P023"/>
    <s v="Facebook"/>
    <s v="2024-11-06"/>
    <x v="5"/>
    <s v="Explore the latest video on Myntra! Trendy styles await."/>
    <n v="1606"/>
    <n v="547"/>
    <n v="316"/>
    <n v="32120"/>
    <n v="31736"/>
    <n v="225"/>
    <s v="#MyntraSale"/>
    <x v="2"/>
    <n v="2469"/>
  </r>
  <r>
    <s v="P024"/>
    <s v="Facebook"/>
    <s v="2025-01-23"/>
    <x v="5"/>
    <s v="Explore the latest video on Myntra! Trendy styles await."/>
    <n v="3961"/>
    <n v="761"/>
    <n v="131"/>
    <n v="67337"/>
    <n v="66615"/>
    <n v="161"/>
    <s v="#MyntraTrend"/>
    <x v="1"/>
    <n v="4853"/>
  </r>
  <r>
    <s v="P025"/>
    <s v="Twitter"/>
    <s v="2025-04-10"/>
    <x v="3"/>
    <s v="Explore the latest carousel on Myntra! Trendy styles await."/>
    <n v="3128"/>
    <n v="211"/>
    <n v="197"/>
    <n v="59432"/>
    <n v="59182"/>
    <n v="238"/>
    <s v="#StyleWithMyntra,#MyntraSale"/>
    <x v="0"/>
    <n v="3536"/>
  </r>
  <r>
    <s v="P026"/>
    <s v="YouTube"/>
    <s v="2025-04-05"/>
    <x v="0"/>
    <s v="Explore the latest reel on Myntra! Trendy styles await."/>
    <n v="3009"/>
    <n v="413"/>
    <n v="358"/>
    <n v="42126"/>
    <n v="41309"/>
    <n v="211"/>
    <s v="#MyntraSale"/>
    <x v="1"/>
    <n v="3780"/>
  </r>
  <r>
    <s v="P027"/>
    <s v="YouTube"/>
    <s v="2024-09-17"/>
    <x v="1"/>
    <s v="Explore the latest text on Myntra! Trendy styles await."/>
    <n v="2076"/>
    <n v="195"/>
    <n v="104"/>
    <n v="33216"/>
    <n v="32244"/>
    <n v="51"/>
    <s v="#MyntraTrend"/>
    <x v="3"/>
    <n v="2375"/>
  </r>
  <r>
    <s v="P028"/>
    <s v="Instagram"/>
    <s v="2025-03-04"/>
    <x v="5"/>
    <s v="Explore the latest video on Myntra! Trendy styles await."/>
    <n v="432"/>
    <n v="624"/>
    <n v="123"/>
    <n v="6912"/>
    <n v="6259"/>
    <n v="79"/>
    <s v="#MyntraSale,#MyntraTrend"/>
    <x v="1"/>
    <n v="1179"/>
  </r>
  <r>
    <s v="P029"/>
    <s v="Instagram"/>
    <s v="2025-01-31"/>
    <x v="3"/>
    <s v="Explore the latest carousel on Myntra! Trendy styles await."/>
    <n v="2566"/>
    <n v="118"/>
    <n v="37"/>
    <n v="12830"/>
    <n v="12264"/>
    <n v="221"/>
    <s v="#MyntraTrend,#MyntraFashion"/>
    <x v="2"/>
    <n v="2721"/>
  </r>
  <r>
    <s v="P030"/>
    <s v="Instagram"/>
    <s v="2025-02-25"/>
    <x v="5"/>
    <s v="Explore the latest video on Myntra! Trendy styles await."/>
    <n v="3095"/>
    <n v="39"/>
    <n v="78"/>
    <n v="55710"/>
    <n v="54808"/>
    <n v="93"/>
    <s v="#MyntraSale"/>
    <x v="3"/>
    <n v="3212"/>
  </r>
  <r>
    <s v="P031"/>
    <s v="Instagram"/>
    <s v="2024-12-16"/>
    <x v="1"/>
    <s v="Explore the latest text on Myntra! Trendy styles await."/>
    <n v="438"/>
    <n v="153"/>
    <n v="275"/>
    <n v="3066"/>
    <n v="2701"/>
    <n v="282"/>
    <s v="#MyntraTrend"/>
    <x v="3"/>
    <n v="866"/>
  </r>
  <r>
    <s v="P032"/>
    <s v="Twitter"/>
    <s v="2024-07-31"/>
    <x v="3"/>
    <s v="Explore the latest carousel on Myntra! Trendy styles await."/>
    <n v="2278"/>
    <n v="10"/>
    <n v="321"/>
    <n v="13668"/>
    <n v="12676"/>
    <n v="275"/>
    <s v="#MyntraTrend,#MyntraFashion"/>
    <x v="3"/>
    <n v="2609"/>
  </r>
  <r>
    <s v="P033"/>
    <s v="Facebook"/>
    <s v="2024-08-21"/>
    <x v="4"/>
    <s v="Explore the latest image on Myntra! Trendy styles await."/>
    <n v="1407"/>
    <n v="400"/>
    <n v="351"/>
    <n v="16884"/>
    <n v="15954"/>
    <n v="113"/>
    <s v="#MyntraFashion,#FashionDeals"/>
    <x v="2"/>
    <n v="2158"/>
  </r>
  <r>
    <s v="P034"/>
    <s v="Facebook"/>
    <s v="2025-03-26"/>
    <x v="1"/>
    <s v="Explore the latest text on Myntra! Trendy styles await."/>
    <n v="1652"/>
    <n v="89"/>
    <n v="357"/>
    <n v="29736"/>
    <n v="28771"/>
    <n v="215"/>
    <s v="#MyntraTrend,#FashionDeals"/>
    <x v="1"/>
    <n v="2098"/>
  </r>
  <r>
    <s v="P035"/>
    <s v="Instagram"/>
    <s v="2024-11-30"/>
    <x v="5"/>
    <s v="Explore the latest video on Myntra! Trendy styles await."/>
    <n v="3775"/>
    <n v="16"/>
    <n v="239"/>
    <n v="33975"/>
    <n v="33310"/>
    <n v="271"/>
    <s v="#StyleWithMyntra,#MyntraSale"/>
    <x v="2"/>
    <n v="4030"/>
  </r>
  <r>
    <s v="P036"/>
    <s v="Instagram"/>
    <s v="2025-04-19"/>
    <x v="2"/>
    <s v="Explore the latest story on Myntra! Trendy styles await."/>
    <n v="4518"/>
    <n v="285"/>
    <n v="383"/>
    <n v="67770"/>
    <n v="67621"/>
    <n v="31"/>
    <s v="#FashionDeals"/>
    <x v="1"/>
    <n v="5186"/>
  </r>
  <r>
    <s v="P037"/>
    <s v="Facebook"/>
    <s v="2025-01-06"/>
    <x v="3"/>
    <s v="Explore the latest carousel on Myntra! Trendy styles await."/>
    <n v="3024"/>
    <n v="925"/>
    <n v="350"/>
    <n v="24192"/>
    <n v="23518"/>
    <n v="36"/>
    <s v="#MyntraSale"/>
    <x v="2"/>
    <n v="4299"/>
  </r>
  <r>
    <s v="P038"/>
    <s v="YouTube"/>
    <s v="2025-02-17"/>
    <x v="0"/>
    <s v="Explore the latest reel on Myntra! Trendy styles await."/>
    <n v="3138"/>
    <n v="123"/>
    <n v="291"/>
    <n v="28242"/>
    <n v="27550"/>
    <n v="87"/>
    <s v="#FashionDeals"/>
    <x v="3"/>
    <n v="3552"/>
  </r>
  <r>
    <s v="P039"/>
    <s v="Facebook"/>
    <s v="2024-11-25"/>
    <x v="4"/>
    <s v="Explore the latest image on Myntra! Trendy styles await."/>
    <n v="3564"/>
    <n v="629"/>
    <n v="177"/>
    <n v="60588"/>
    <n v="59627"/>
    <n v="92"/>
    <s v="#FashionDeals,#MyntraSale"/>
    <x v="2"/>
    <n v="4370"/>
  </r>
  <r>
    <s v="P040"/>
    <s v="Twitter"/>
    <s v="2025-03-07"/>
    <x v="4"/>
    <s v="Explore the latest image on Myntra! Trendy styles await."/>
    <n v="4750"/>
    <n v="151"/>
    <n v="415"/>
    <n v="38000"/>
    <n v="37792"/>
    <n v="299"/>
    <s v="#StyleWithMyntra,#MyntraSale"/>
    <x v="1"/>
    <n v="5316"/>
  </r>
  <r>
    <s v="P041"/>
    <s v="Instagram"/>
    <s v="2025-03-08"/>
    <x v="0"/>
    <s v="Explore the latest reel on Myntra! Trendy styles await."/>
    <n v="456"/>
    <n v="629"/>
    <n v="428"/>
    <n v="8208"/>
    <n v="7377"/>
    <n v="205"/>
    <s v="#MyntraSale,#FashionDeals"/>
    <x v="2"/>
    <n v="1513"/>
  </r>
  <r>
    <s v="P042"/>
    <s v="YouTube"/>
    <s v="2025-03-05"/>
    <x v="0"/>
    <s v="Explore the latest reel on Myntra! Trendy styles await."/>
    <n v="1543"/>
    <n v="820"/>
    <n v="333"/>
    <n v="12344"/>
    <n v="11496"/>
    <n v="241"/>
    <s v="#StyleWithMyntra"/>
    <x v="2"/>
    <n v="2696"/>
  </r>
  <r>
    <s v="P043"/>
    <s v="Instagram"/>
    <s v="2024-12-14"/>
    <x v="3"/>
    <s v="Explore the latest carousel on Myntra! Trendy styles await."/>
    <n v="2174"/>
    <n v="658"/>
    <n v="15"/>
    <n v="13044"/>
    <n v="12206"/>
    <n v="137"/>
    <s v="#MyntraSale,#MyntraFashion"/>
    <x v="3"/>
    <n v="2847"/>
  </r>
  <r>
    <s v="P044"/>
    <s v="Twitter"/>
    <s v="2025-03-02"/>
    <x v="4"/>
    <s v="Explore the latest image on Myntra! Trendy styles await."/>
    <n v="2358"/>
    <n v="784"/>
    <n v="344"/>
    <n v="35370"/>
    <n v="34475"/>
    <n v="216"/>
    <s v="#MyntraSale,#StyleWithMyntra"/>
    <x v="0"/>
    <n v="3486"/>
  </r>
  <r>
    <s v="P045"/>
    <s v="Facebook"/>
    <s v="2024-11-01"/>
    <x v="5"/>
    <s v="Explore the latest video on Myntra! Trendy styles await."/>
    <n v="3371"/>
    <n v="106"/>
    <n v="327"/>
    <n v="50565"/>
    <n v="49816"/>
    <n v="176"/>
    <s v="#FashionDeals"/>
    <x v="3"/>
    <n v="3804"/>
  </r>
  <r>
    <s v="P046"/>
    <s v="Twitter"/>
    <s v="2025-05-02"/>
    <x v="5"/>
    <s v="Explore the latest video on Myntra! Trendy styles await."/>
    <n v="1108"/>
    <n v="177"/>
    <n v="212"/>
    <n v="8864"/>
    <n v="8710"/>
    <n v="97"/>
    <s v="#MyntraFashion"/>
    <x v="3"/>
    <n v="1497"/>
  </r>
  <r>
    <s v="P047"/>
    <s v="Twitter"/>
    <s v="2025-02-24"/>
    <x v="3"/>
    <s v="Explore the latest carousel on Myntra! Trendy styles await."/>
    <n v="2704"/>
    <n v="752"/>
    <n v="153"/>
    <n v="21632"/>
    <n v="20792"/>
    <n v="127"/>
    <s v="#FashionDeals,#MyntraFashion"/>
    <x v="0"/>
    <n v="3609"/>
  </r>
  <r>
    <s v="P048"/>
    <s v="Twitter"/>
    <s v="2025-03-11"/>
    <x v="2"/>
    <s v="Explore the latest story on Myntra! Trendy styles await."/>
    <n v="1950"/>
    <n v="295"/>
    <n v="478"/>
    <n v="37050"/>
    <n v="36272"/>
    <n v="119"/>
    <s v="#MyntraFashion,#StyleWithMyntra"/>
    <x v="3"/>
    <n v="2723"/>
  </r>
  <r>
    <s v="P049"/>
    <s v="Twitter"/>
    <s v="2024-06-10"/>
    <x v="2"/>
    <s v="Explore the latest story on Myntra! Trendy styles await."/>
    <n v="2164"/>
    <n v="549"/>
    <n v="274"/>
    <n v="28132"/>
    <n v="27361"/>
    <n v="177"/>
    <s v="#StyleWithMyntra"/>
    <x v="0"/>
    <n v="2987"/>
  </r>
  <r>
    <s v="P050"/>
    <s v="YouTube"/>
    <s v="2024-07-03"/>
    <x v="2"/>
    <s v="Explore the latest story on Myntra! Trendy styles await."/>
    <n v="2754"/>
    <n v="130"/>
    <n v="90"/>
    <n v="22032"/>
    <n v="21288"/>
    <n v="112"/>
    <s v="#MyntraFashion"/>
    <x v="0"/>
    <n v="2974"/>
  </r>
  <r>
    <s v="P051"/>
    <s v="Facebook"/>
    <s v="2024-06-13"/>
    <x v="3"/>
    <s v="Explore the latest carousel on Myntra! Trendy styles await."/>
    <n v="2200"/>
    <n v="504"/>
    <n v="239"/>
    <n v="37400"/>
    <n v="36938"/>
    <n v="225"/>
    <s v="#MyntraSale"/>
    <x v="2"/>
    <n v="2943"/>
  </r>
  <r>
    <s v="P052"/>
    <s v="Facebook"/>
    <s v="2025-01-03"/>
    <x v="4"/>
    <s v="Explore the latest image on Myntra! Trendy styles await."/>
    <n v="947"/>
    <n v="338"/>
    <n v="350"/>
    <n v="10417"/>
    <n v="9730"/>
    <n v="34"/>
    <s v="#MyntraFashion,#MyntraSale"/>
    <x v="2"/>
    <n v="1635"/>
  </r>
  <r>
    <s v="P053"/>
    <s v="YouTube"/>
    <s v="2025-02-24"/>
    <x v="3"/>
    <s v="Explore the latest carousel on Myntra! Trendy styles await."/>
    <n v="804"/>
    <n v="639"/>
    <n v="43"/>
    <n v="4020"/>
    <n v="3144"/>
    <n v="11"/>
    <s v="#StyleWithMyntra,#MyntraTrend"/>
    <x v="3"/>
    <n v="1486"/>
  </r>
  <r>
    <s v="P054"/>
    <s v="YouTube"/>
    <s v="2025-03-13"/>
    <x v="3"/>
    <s v="Explore the latest carousel on Myntra! Trendy styles await."/>
    <n v="1686"/>
    <n v="904"/>
    <n v="472"/>
    <n v="18546"/>
    <n v="18171"/>
    <n v="52"/>
    <s v="#MyntraFashion,#FashionDeals"/>
    <x v="1"/>
    <n v="3062"/>
  </r>
  <r>
    <s v="P055"/>
    <s v="Facebook"/>
    <s v="2024-06-17"/>
    <x v="4"/>
    <s v="Explore the latest image on Myntra! Trendy styles await."/>
    <n v="1226"/>
    <n v="119"/>
    <n v="7"/>
    <n v="14712"/>
    <n v="14049"/>
    <n v="123"/>
    <s v="#MyntraSale,#MyntraTrend"/>
    <x v="3"/>
    <n v="1352"/>
  </r>
  <r>
    <s v="P056"/>
    <s v="Facebook"/>
    <s v="2024-12-18"/>
    <x v="3"/>
    <s v="Explore the latest carousel on Myntra! Trendy styles await."/>
    <n v="2946"/>
    <n v="498"/>
    <n v="367"/>
    <n v="29460"/>
    <n v="28527"/>
    <n v="60"/>
    <s v="#StyleWithMyntra,#FashionDeals"/>
    <x v="1"/>
    <n v="3811"/>
  </r>
  <r>
    <s v="P057"/>
    <s v="Twitter"/>
    <s v="2024-10-21"/>
    <x v="5"/>
    <s v="Explore the latest video on Myntra! Trendy styles await."/>
    <n v="2825"/>
    <n v="535"/>
    <n v="295"/>
    <n v="45200"/>
    <n v="44739"/>
    <n v="169"/>
    <s v="#StyleWithMyntra"/>
    <x v="1"/>
    <n v="3655"/>
  </r>
  <r>
    <s v="P058"/>
    <s v="Instagram"/>
    <s v="2025-04-15"/>
    <x v="0"/>
    <s v="Explore the latest reel on Myntra! Trendy styles await."/>
    <n v="103"/>
    <n v="770"/>
    <n v="19"/>
    <n v="1030"/>
    <n v="410"/>
    <n v="262"/>
    <s v="#MyntraSale"/>
    <x v="2"/>
    <n v="892"/>
  </r>
  <r>
    <s v="P059"/>
    <s v="Instagram"/>
    <s v="2024-06-22"/>
    <x v="1"/>
    <s v="Explore the latest text on Myntra! Trendy styles await."/>
    <n v="2180"/>
    <n v="263"/>
    <n v="387"/>
    <n v="30520"/>
    <n v="30059"/>
    <n v="174"/>
    <s v="#FashionDeals"/>
    <x v="0"/>
    <n v="2830"/>
  </r>
  <r>
    <s v="P060"/>
    <s v="Instagram"/>
    <s v="2025-01-28"/>
    <x v="5"/>
    <s v="Explore the latest video on Myntra! Trendy styles await."/>
    <n v="904"/>
    <n v="973"/>
    <n v="63"/>
    <n v="11752"/>
    <n v="11580"/>
    <n v="84"/>
    <s v="#StyleWithMyntra"/>
    <x v="0"/>
    <n v="1940"/>
  </r>
  <r>
    <s v="P061"/>
    <s v="Twitter"/>
    <s v="2024-09-05"/>
    <x v="5"/>
    <s v="Explore the latest video on Myntra! Trendy styles await."/>
    <n v="4886"/>
    <n v="983"/>
    <n v="409"/>
    <n v="43974"/>
    <n v="43239"/>
    <n v="65"/>
    <s v="#MyntraFashion"/>
    <x v="0"/>
    <n v="6278"/>
  </r>
  <r>
    <s v="P062"/>
    <s v="Twitter"/>
    <s v="2024-11-22"/>
    <x v="3"/>
    <s v="Explore the latest carousel on Myntra! Trendy styles await."/>
    <n v="53"/>
    <n v="81"/>
    <n v="379"/>
    <n v="954"/>
    <n v="7"/>
    <n v="148"/>
    <s v="#FashionDeals"/>
    <x v="2"/>
    <n v="513"/>
  </r>
  <r>
    <s v="P063"/>
    <s v="Twitter"/>
    <s v="2024-07-31"/>
    <x v="3"/>
    <s v="Explore the latest carousel on Myntra! Trendy styles await."/>
    <n v="4507"/>
    <n v="217"/>
    <n v="13"/>
    <n v="90140"/>
    <n v="89591"/>
    <n v="125"/>
    <s v="#MyntraSale"/>
    <x v="0"/>
    <n v="4737"/>
  </r>
  <r>
    <s v="P064"/>
    <s v="Facebook"/>
    <s v="2024-08-17"/>
    <x v="4"/>
    <s v="Explore the latest image on Myntra! Trendy styles await."/>
    <n v="2878"/>
    <n v="248"/>
    <n v="416"/>
    <n v="43170"/>
    <n v="42667"/>
    <n v="75"/>
    <s v="#FashionDeals,#MyntraTrend"/>
    <x v="1"/>
    <n v="3542"/>
  </r>
  <r>
    <s v="P065"/>
    <s v="Instagram"/>
    <s v="2025-03-28"/>
    <x v="2"/>
    <s v="Explore the latest story on Myntra! Trendy styles await."/>
    <n v="1881"/>
    <n v="501"/>
    <n v="99"/>
    <n v="20691"/>
    <n v="19987"/>
    <n v="289"/>
    <s v="#FashionDeals"/>
    <x v="1"/>
    <n v="2481"/>
  </r>
  <r>
    <s v="P066"/>
    <s v="Twitter"/>
    <s v="2024-07-26"/>
    <x v="3"/>
    <s v="Explore the latest carousel on Myntra! Trendy styles await."/>
    <n v="432"/>
    <n v="171"/>
    <n v="280"/>
    <n v="3024"/>
    <n v="2285"/>
    <n v="184"/>
    <s v="#MyntraFashion"/>
    <x v="2"/>
    <n v="883"/>
  </r>
  <r>
    <s v="P067"/>
    <s v="Facebook"/>
    <s v="2025-03-29"/>
    <x v="3"/>
    <s v="Explore the latest carousel on Myntra! Trendy styles await."/>
    <n v="4712"/>
    <n v="568"/>
    <n v="127"/>
    <n v="84816"/>
    <n v="84691"/>
    <n v="100"/>
    <s v="#FashionDeals"/>
    <x v="0"/>
    <n v="5407"/>
  </r>
  <r>
    <s v="P068"/>
    <s v="Instagram"/>
    <s v="2024-12-08"/>
    <x v="2"/>
    <s v="Explore the latest story on Myntra! Trendy styles await."/>
    <n v="2610"/>
    <n v="126"/>
    <n v="288"/>
    <n v="15660"/>
    <n v="15145"/>
    <n v="73"/>
    <s v="#MyntraFashion"/>
    <x v="0"/>
    <n v="3024"/>
  </r>
  <r>
    <s v="P069"/>
    <s v="Twitter"/>
    <s v="2025-03-08"/>
    <x v="1"/>
    <s v="Explore the latest text on Myntra! Trendy styles await."/>
    <n v="1292"/>
    <n v="626"/>
    <n v="496"/>
    <n v="25840"/>
    <n v="24916"/>
    <n v="149"/>
    <s v="#StyleWithMyntra,#MyntraTrend"/>
    <x v="3"/>
    <n v="2414"/>
  </r>
  <r>
    <s v="P070"/>
    <s v="Facebook"/>
    <s v="2025-04-02"/>
    <x v="5"/>
    <s v="Explore the latest video on Myntra! Trendy styles await."/>
    <n v="199"/>
    <n v="772"/>
    <n v="400"/>
    <n v="3582"/>
    <n v="2988"/>
    <n v="43"/>
    <s v="#MyntraTrend"/>
    <x v="0"/>
    <n v="1371"/>
  </r>
  <r>
    <s v="P071"/>
    <s v="YouTube"/>
    <s v="2024-09-02"/>
    <x v="3"/>
    <s v="Explore the latest carousel on Myntra! Trendy styles await."/>
    <n v="2551"/>
    <n v="915"/>
    <n v="205"/>
    <n v="30612"/>
    <n v="30360"/>
    <n v="227"/>
    <s v="#MyntraSale,#FashionDeals"/>
    <x v="1"/>
    <n v="3671"/>
  </r>
  <r>
    <s v="P072"/>
    <s v="YouTube"/>
    <s v="2025-03-03"/>
    <x v="0"/>
    <s v="Explore the latest reel on Myntra! Trendy styles await."/>
    <n v="296"/>
    <n v="60"/>
    <n v="141"/>
    <n v="5624"/>
    <n v="5239"/>
    <n v="88"/>
    <s v="#MyntraTrend"/>
    <x v="3"/>
    <n v="497"/>
  </r>
  <r>
    <s v="P073"/>
    <s v="Facebook"/>
    <s v="2024-10-18"/>
    <x v="2"/>
    <s v="Explore the latest story on Myntra! Trendy styles await."/>
    <n v="4126"/>
    <n v="426"/>
    <n v="486"/>
    <n v="78394"/>
    <n v="77798"/>
    <n v="88"/>
    <s v="#MyntraFashion"/>
    <x v="0"/>
    <n v="5038"/>
  </r>
  <r>
    <s v="P074"/>
    <s v="YouTube"/>
    <s v="2024-10-28"/>
    <x v="0"/>
    <s v="Explore the latest reel on Myntra! Trendy styles await."/>
    <n v="1855"/>
    <n v="200"/>
    <n v="174"/>
    <n v="16695"/>
    <n v="16330"/>
    <n v="123"/>
    <s v="#MyntraFashion"/>
    <x v="2"/>
    <n v="2229"/>
  </r>
  <r>
    <s v="P075"/>
    <s v="Instagram"/>
    <s v="2024-08-01"/>
    <x v="0"/>
    <s v="Explore the latest reel on Myntra! Trendy styles await."/>
    <n v="1674"/>
    <n v="929"/>
    <n v="37"/>
    <n v="21762"/>
    <n v="20998"/>
    <n v="255"/>
    <s v="#StyleWithMyntra,#FashionDeals"/>
    <x v="2"/>
    <n v="2640"/>
  </r>
  <r>
    <s v="P076"/>
    <s v="Twitter"/>
    <s v="2024-11-07"/>
    <x v="2"/>
    <s v="Explore the latest story on Myntra! Trendy styles await."/>
    <n v="1121"/>
    <n v="135"/>
    <n v="18"/>
    <n v="15694"/>
    <n v="14957"/>
    <n v="99"/>
    <s v="#MyntraSale,#MyntraFashion"/>
    <x v="3"/>
    <n v="1274"/>
  </r>
  <r>
    <s v="P077"/>
    <s v="Facebook"/>
    <s v="2025-03-04"/>
    <x v="2"/>
    <s v="Explore the latest story on Myntra! Trendy styles await."/>
    <n v="1249"/>
    <n v="116"/>
    <n v="420"/>
    <n v="8743"/>
    <n v="8538"/>
    <n v="63"/>
    <s v="#MyntraFashion,#FashionDeals"/>
    <x v="2"/>
    <n v="1785"/>
  </r>
  <r>
    <s v="P078"/>
    <s v="Twitter"/>
    <s v="2024-06-17"/>
    <x v="4"/>
    <s v="Explore the latest image on Myntra! Trendy styles await."/>
    <n v="954"/>
    <n v="324"/>
    <n v="288"/>
    <n v="19080"/>
    <n v="18859"/>
    <n v="21"/>
    <s v="#MyntraTrend"/>
    <x v="2"/>
    <n v="1566"/>
  </r>
  <r>
    <s v="P079"/>
    <s v="Instagram"/>
    <s v="2024-10-09"/>
    <x v="3"/>
    <s v="Explore the latest carousel on Myntra! Trendy styles await."/>
    <n v="3068"/>
    <n v="137"/>
    <n v="329"/>
    <n v="39884"/>
    <n v="39404"/>
    <n v="266"/>
    <s v="#MyntraSale,#MyntraTrend"/>
    <x v="2"/>
    <n v="3534"/>
  </r>
  <r>
    <s v="P080"/>
    <s v="Instagram"/>
    <s v="2024-06-13"/>
    <x v="2"/>
    <s v="Explore the latest story on Myntra! Trendy styles await."/>
    <n v="2103"/>
    <n v="892"/>
    <n v="103"/>
    <n v="39957"/>
    <n v="39466"/>
    <n v="28"/>
    <s v="#FashionDeals,#MyntraFashion"/>
    <x v="1"/>
    <n v="3098"/>
  </r>
  <r>
    <s v="P081"/>
    <s v="Instagram"/>
    <s v="2024-10-19"/>
    <x v="2"/>
    <s v="Explore the latest story on Myntra! Trendy styles await."/>
    <n v="1816"/>
    <n v="29"/>
    <n v="41"/>
    <n v="19976"/>
    <n v="19262"/>
    <n v="283"/>
    <s v="#MyntraTrend,#MyntraSale"/>
    <x v="2"/>
    <n v="1886"/>
  </r>
  <r>
    <s v="P082"/>
    <s v="Instagram"/>
    <s v="2024-07-24"/>
    <x v="4"/>
    <s v="Explore the latest image on Myntra! Trendy styles await."/>
    <n v="725"/>
    <n v="88"/>
    <n v="428"/>
    <n v="14500"/>
    <n v="13637"/>
    <n v="200"/>
    <s v="#MyntraTrend"/>
    <x v="2"/>
    <n v="1241"/>
  </r>
  <r>
    <s v="P083"/>
    <s v="YouTube"/>
    <s v="2024-10-15"/>
    <x v="5"/>
    <s v="Explore the latest video on Myntra! Trendy styles await."/>
    <n v="1094"/>
    <n v="472"/>
    <n v="21"/>
    <n v="9846"/>
    <n v="9609"/>
    <n v="112"/>
    <s v="#MyntraTrend,#StyleWithMyntra"/>
    <x v="2"/>
    <n v="1587"/>
  </r>
  <r>
    <s v="P084"/>
    <s v="Facebook"/>
    <s v="2024-12-09"/>
    <x v="4"/>
    <s v="Explore the latest image on Myntra! Trendy styles await."/>
    <n v="1841"/>
    <n v="851"/>
    <n v="342"/>
    <n v="34979"/>
    <n v="34154"/>
    <n v="255"/>
    <s v="#MyntraFashion,#FashionDeals"/>
    <x v="0"/>
    <n v="3034"/>
  </r>
  <r>
    <s v="P085"/>
    <s v="Instagram"/>
    <s v="2025-04-19"/>
    <x v="4"/>
    <s v="Explore the latest image on Myntra! Trendy styles await."/>
    <n v="4177"/>
    <n v="569"/>
    <n v="55"/>
    <n v="25062"/>
    <n v="24847"/>
    <n v="230"/>
    <s v="#MyntraFashion"/>
    <x v="0"/>
    <n v="4801"/>
  </r>
  <r>
    <s v="P086"/>
    <s v="YouTube"/>
    <s v="2025-01-27"/>
    <x v="1"/>
    <s v="Explore the latest text on Myntra! Trendy styles await."/>
    <n v="3428"/>
    <n v="305"/>
    <n v="85"/>
    <n v="58276"/>
    <n v="58052"/>
    <n v="242"/>
    <s v="#MyntraTrend,#StyleWithMyntra"/>
    <x v="2"/>
    <n v="3818"/>
  </r>
  <r>
    <s v="P087"/>
    <s v="Twitter"/>
    <s v="2024-06-06"/>
    <x v="5"/>
    <s v="Explore the latest video on Myntra! Trendy styles await."/>
    <n v="1436"/>
    <n v="765"/>
    <n v="496"/>
    <n v="12924"/>
    <n v="12701"/>
    <n v="197"/>
    <s v="#MyntraTrend,#MyntraSale"/>
    <x v="1"/>
    <n v="2697"/>
  </r>
  <r>
    <s v="P088"/>
    <s v="Facebook"/>
    <s v="2024-07-07"/>
    <x v="2"/>
    <s v="Explore the latest story on Myntra! Trendy styles await."/>
    <n v="302"/>
    <n v="47"/>
    <n v="430"/>
    <n v="5738"/>
    <n v="4890"/>
    <n v="25"/>
    <s v="#MyntraFashion,#MyntraSale"/>
    <x v="1"/>
    <n v="779"/>
  </r>
  <r>
    <s v="P089"/>
    <s v="Twitter"/>
    <s v="2025-01-10"/>
    <x v="4"/>
    <s v="Explore the latest image on Myntra! Trendy styles await."/>
    <n v="2214"/>
    <n v="249"/>
    <n v="152"/>
    <n v="15498"/>
    <n v="14800"/>
    <n v="180"/>
    <s v="#MyntraSale"/>
    <x v="1"/>
    <n v="2615"/>
  </r>
  <r>
    <s v="P090"/>
    <s v="Instagram"/>
    <s v="2024-06-03"/>
    <x v="4"/>
    <s v="Explore the latest image on Myntra! Trendy styles await."/>
    <n v="3861"/>
    <n v="960"/>
    <n v="101"/>
    <n v="69498"/>
    <n v="68817"/>
    <n v="297"/>
    <s v="#MyntraFashion"/>
    <x v="1"/>
    <n v="4922"/>
  </r>
  <r>
    <s v="P091"/>
    <s v="Facebook"/>
    <s v="2025-03-24"/>
    <x v="4"/>
    <s v="Explore the latest image on Myntra! Trendy styles await."/>
    <n v="1263"/>
    <n v="397"/>
    <n v="357"/>
    <n v="25260"/>
    <n v="24615"/>
    <n v="137"/>
    <s v="#MyntraSale"/>
    <x v="1"/>
    <n v="2017"/>
  </r>
  <r>
    <s v="P092"/>
    <s v="Twitter"/>
    <s v="2024-10-21"/>
    <x v="2"/>
    <s v="Explore the latest story on Myntra! Trendy styles await."/>
    <n v="3801"/>
    <n v="967"/>
    <n v="401"/>
    <n v="38010"/>
    <n v="37625"/>
    <n v="236"/>
    <s v="#StyleWithMyntra"/>
    <x v="3"/>
    <n v="5169"/>
  </r>
  <r>
    <s v="P093"/>
    <s v="Instagram"/>
    <s v="2024-12-11"/>
    <x v="5"/>
    <s v="Explore the latest video on Myntra! Trendy styles await."/>
    <n v="1431"/>
    <n v="951"/>
    <n v="26"/>
    <n v="8586"/>
    <n v="8396"/>
    <n v="150"/>
    <s v="#MyntraTrend,#FashionDeals"/>
    <x v="0"/>
    <n v="2408"/>
  </r>
  <r>
    <s v="P094"/>
    <s v="Instagram"/>
    <s v="2024-11-07"/>
    <x v="4"/>
    <s v="Explore the latest image on Myntra! Trendy styles await."/>
    <n v="2647"/>
    <n v="304"/>
    <n v="170"/>
    <n v="18529"/>
    <n v="17841"/>
    <n v="46"/>
    <s v="#StyleWithMyntra"/>
    <x v="1"/>
    <n v="3121"/>
  </r>
  <r>
    <s v="P095"/>
    <s v="Instagram"/>
    <s v="2024-11-08"/>
    <x v="1"/>
    <s v="Explore the latest text on Myntra! Trendy styles await."/>
    <n v="3182"/>
    <n v="559"/>
    <n v="160"/>
    <n v="57276"/>
    <n v="56890"/>
    <n v="163"/>
    <s v="#StyleWithMyntra,#MyntraTrend"/>
    <x v="1"/>
    <n v="3901"/>
  </r>
  <r>
    <s v="P096"/>
    <s v="Twitter"/>
    <s v="2024-09-10"/>
    <x v="4"/>
    <s v="Explore the latest image on Myntra! Trendy styles await."/>
    <n v="1238"/>
    <n v="366"/>
    <n v="444"/>
    <n v="19808"/>
    <n v="19334"/>
    <n v="123"/>
    <s v="#FashionDeals"/>
    <x v="2"/>
    <n v="2048"/>
  </r>
  <r>
    <s v="P097"/>
    <s v="Instagram"/>
    <s v="2024-08-13"/>
    <x v="4"/>
    <s v="Explore the latest image on Myntra! Trendy styles await."/>
    <n v="4739"/>
    <n v="527"/>
    <n v="135"/>
    <n v="61607"/>
    <n v="61333"/>
    <n v="36"/>
    <s v="#StyleWithMyntra,#MyntraSale"/>
    <x v="1"/>
    <n v="5401"/>
  </r>
  <r>
    <s v="P098"/>
    <s v="Twitter"/>
    <s v="2024-06-10"/>
    <x v="2"/>
    <s v="Explore the latest story on Myntra! Trendy styles await."/>
    <n v="1575"/>
    <n v="771"/>
    <n v="486"/>
    <n v="25200"/>
    <n v="24826"/>
    <n v="17"/>
    <s v="#StyleWithMyntra"/>
    <x v="2"/>
    <n v="2832"/>
  </r>
  <r>
    <s v="P099"/>
    <s v="YouTube"/>
    <s v="2024-07-02"/>
    <x v="3"/>
    <s v="Explore the latest carousel on Myntra! Trendy styles await."/>
    <n v="4171"/>
    <n v="548"/>
    <n v="86"/>
    <n v="66736"/>
    <n v="66634"/>
    <n v="173"/>
    <s v="#StyleWithMyntra"/>
    <x v="2"/>
    <n v="4805"/>
  </r>
  <r>
    <s v="P100"/>
    <s v="YouTube"/>
    <s v="2025-02-10"/>
    <x v="5"/>
    <s v="Explore the latest video on Myntra! Trendy styles await."/>
    <n v="1766"/>
    <n v="92"/>
    <n v="424"/>
    <n v="24724"/>
    <n v="24333"/>
    <n v="52"/>
    <s v="#StyleWithMyntra"/>
    <x v="0"/>
    <n v="2282"/>
  </r>
  <r>
    <s v="P101"/>
    <s v="YouTube"/>
    <s v="2024-10-18"/>
    <x v="5"/>
    <s v="Explore the latest video on Myntra! Trendy styles await."/>
    <n v="4450"/>
    <n v="983"/>
    <n v="143"/>
    <n v="75650"/>
    <n v="75008"/>
    <n v="12"/>
    <s v="#MyntraSale,#StyleWithMyntra"/>
    <x v="1"/>
    <n v="5576"/>
  </r>
  <r>
    <s v="P102"/>
    <s v="Twitter"/>
    <s v="2024-09-18"/>
    <x v="0"/>
    <s v="Explore the latest reel on Myntra! Trendy styles await."/>
    <n v="1000"/>
    <n v="978"/>
    <n v="162"/>
    <n v="6000"/>
    <n v="5221"/>
    <n v="223"/>
    <s v="#MyntraTrend,#MyntraFashion"/>
    <x v="2"/>
    <n v="2140"/>
  </r>
  <r>
    <s v="P103"/>
    <s v="Facebook"/>
    <s v="2024-06-11"/>
    <x v="4"/>
    <s v="Explore the latest image on Myntra! Trendy styles await."/>
    <n v="3689"/>
    <n v="48"/>
    <n v="306"/>
    <n v="40579"/>
    <n v="39588"/>
    <n v="212"/>
    <s v="#MyntraTrend"/>
    <x v="0"/>
    <n v="4043"/>
  </r>
  <r>
    <s v="P104"/>
    <s v="YouTube"/>
    <s v="2025-03-23"/>
    <x v="2"/>
    <s v="Explore the latest story on Myntra! Trendy styles await."/>
    <n v="3655"/>
    <n v="568"/>
    <n v="286"/>
    <n v="32895"/>
    <n v="32015"/>
    <n v="199"/>
    <s v="#MyntraTrend"/>
    <x v="3"/>
    <n v="4509"/>
  </r>
  <r>
    <s v="P105"/>
    <s v="Instagram"/>
    <s v="2024-06-14"/>
    <x v="3"/>
    <s v="Explore the latest carousel on Myntra! Trendy styles await."/>
    <n v="498"/>
    <n v="38"/>
    <n v="42"/>
    <n v="4482"/>
    <n v="3647"/>
    <n v="32"/>
    <s v="#StyleWithMyntra,#FashionDeals"/>
    <x v="3"/>
    <n v="578"/>
  </r>
  <r>
    <s v="P106"/>
    <s v="Instagram"/>
    <s v="2025-02-04"/>
    <x v="4"/>
    <s v="Explore the latest image on Myntra! Trendy styles await."/>
    <n v="4619"/>
    <n v="821"/>
    <n v="499"/>
    <n v="69285"/>
    <n v="69141"/>
    <n v="298"/>
    <s v="#MyntraFashion"/>
    <x v="0"/>
    <n v="5939"/>
  </r>
  <r>
    <s v="P107"/>
    <s v="YouTube"/>
    <s v="2024-06-21"/>
    <x v="4"/>
    <s v="Explore the latest image on Myntra! Trendy styles await."/>
    <n v="4832"/>
    <n v="893"/>
    <n v="10"/>
    <n v="91808"/>
    <n v="91296"/>
    <n v="182"/>
    <s v="#MyntraSale,#StyleWithMyntra"/>
    <x v="2"/>
    <n v="5735"/>
  </r>
  <r>
    <s v="P108"/>
    <s v="Twitter"/>
    <s v="2025-03-25"/>
    <x v="5"/>
    <s v="Explore the latest video on Myntra! Trendy styles await."/>
    <n v="4050"/>
    <n v="871"/>
    <n v="347"/>
    <n v="52650"/>
    <n v="51755"/>
    <n v="209"/>
    <s v="#StyleWithMyntra,#FashionDeals"/>
    <x v="0"/>
    <n v="5268"/>
  </r>
  <r>
    <s v="P109"/>
    <s v="Twitter"/>
    <s v="2024-08-08"/>
    <x v="2"/>
    <s v="Explore the latest story on Myntra! Trendy styles await."/>
    <n v="3649"/>
    <n v="215"/>
    <n v="413"/>
    <n v="25543"/>
    <n v="24963"/>
    <n v="167"/>
    <s v="#MyntraFashion,#StyleWithMyntra"/>
    <x v="0"/>
    <n v="4277"/>
  </r>
  <r>
    <s v="P110"/>
    <s v="Instagram"/>
    <s v="2024-07-29"/>
    <x v="0"/>
    <s v="Explore the latest reel on Myntra! Trendy styles await."/>
    <n v="3523"/>
    <n v="753"/>
    <n v="482"/>
    <n v="38753"/>
    <n v="38579"/>
    <n v="270"/>
    <s v="#FashionDeals,#StyleWithMyntra"/>
    <x v="1"/>
    <n v="4758"/>
  </r>
  <r>
    <s v="P111"/>
    <s v="YouTube"/>
    <s v="2024-11-23"/>
    <x v="4"/>
    <s v="Explore the latest image on Myntra! Trendy styles await."/>
    <n v="2719"/>
    <n v="17"/>
    <n v="285"/>
    <n v="40785"/>
    <n v="40281"/>
    <n v="40"/>
    <s v="#MyntraFashion,#StyleWithMyntra"/>
    <x v="2"/>
    <n v="3021"/>
  </r>
  <r>
    <s v="P112"/>
    <s v="Twitter"/>
    <s v="2024-10-05"/>
    <x v="2"/>
    <s v="Explore the latest story on Myntra! Trendy styles await."/>
    <n v="1957"/>
    <n v="877"/>
    <n v="238"/>
    <n v="17613"/>
    <n v="16865"/>
    <n v="297"/>
    <s v="#MyntraFashion,#MyntraSale"/>
    <x v="2"/>
    <n v="3072"/>
  </r>
  <r>
    <s v="P113"/>
    <s v="Twitter"/>
    <s v="2024-10-02"/>
    <x v="3"/>
    <s v="Explore the latest carousel on Myntra! Trendy styles await."/>
    <n v="4419"/>
    <n v="236"/>
    <n v="369"/>
    <n v="44190"/>
    <n v="43582"/>
    <n v="10"/>
    <s v="#MyntraTrend"/>
    <x v="3"/>
    <n v="5024"/>
  </r>
  <r>
    <s v="P114"/>
    <s v="Twitter"/>
    <s v="2024-11-14"/>
    <x v="2"/>
    <s v="Explore the latest story on Myntra! Trendy styles await."/>
    <n v="4000"/>
    <n v="689"/>
    <n v="488"/>
    <n v="40000"/>
    <n v="39569"/>
    <n v="44"/>
    <s v="#FashionDeals,#MyntraFashion"/>
    <x v="2"/>
    <n v="5177"/>
  </r>
  <r>
    <s v="P115"/>
    <s v="Twitter"/>
    <s v="2025-05-11"/>
    <x v="4"/>
    <s v="Explore the latest image on Myntra! Trendy styles await."/>
    <n v="2493"/>
    <n v="97"/>
    <n v="44"/>
    <n v="42381"/>
    <n v="41991"/>
    <n v="242"/>
    <s v="#MyntraSale,#StyleWithMyntra"/>
    <x v="0"/>
    <n v="2634"/>
  </r>
  <r>
    <s v="P116"/>
    <s v="YouTube"/>
    <s v="2025-03-18"/>
    <x v="0"/>
    <s v="Explore the latest reel on Myntra! Trendy styles await."/>
    <n v="3704"/>
    <n v="186"/>
    <n v="458"/>
    <n v="25928"/>
    <n v="25081"/>
    <n v="131"/>
    <s v="#StyleWithMyntra"/>
    <x v="0"/>
    <n v="4348"/>
  </r>
  <r>
    <s v="P117"/>
    <s v="Twitter"/>
    <s v="2024-11-04"/>
    <x v="4"/>
    <s v="Explore the latest image on Myntra! Trendy styles await."/>
    <n v="1606"/>
    <n v="451"/>
    <n v="405"/>
    <n v="20878"/>
    <n v="20190"/>
    <n v="219"/>
    <s v="#MyntraSale,#StyleWithMyntra"/>
    <x v="1"/>
    <n v="2462"/>
  </r>
  <r>
    <s v="P118"/>
    <s v="Facebook"/>
    <s v="2024-11-04"/>
    <x v="4"/>
    <s v="Explore the latest image on Myntra! Trendy styles await."/>
    <n v="4551"/>
    <n v="714"/>
    <n v="207"/>
    <n v="68265"/>
    <n v="67754"/>
    <n v="57"/>
    <s v="#MyntraTrend"/>
    <x v="1"/>
    <n v="5472"/>
  </r>
  <r>
    <s v="P119"/>
    <s v="Instagram"/>
    <s v="2025-02-07"/>
    <x v="0"/>
    <s v="Explore the latest reel on Myntra! Trendy styles await."/>
    <n v="1970"/>
    <n v="675"/>
    <n v="478"/>
    <n v="9850"/>
    <n v="8924"/>
    <n v="117"/>
    <s v="#MyntraTrend"/>
    <x v="3"/>
    <n v="3123"/>
  </r>
  <r>
    <s v="P120"/>
    <s v="Facebook"/>
    <s v="2024-10-21"/>
    <x v="2"/>
    <s v="Explore the latest story on Myntra! Trendy styles await."/>
    <n v="780"/>
    <n v="928"/>
    <n v="301"/>
    <n v="8580"/>
    <n v="8081"/>
    <n v="91"/>
    <s v="#MyntraSale,#MyntraFashion"/>
    <x v="3"/>
    <n v="2009"/>
  </r>
  <r>
    <s v="P121"/>
    <s v="Instagram"/>
    <s v="2024-07-29"/>
    <x v="2"/>
    <s v="Explore the latest story on Myntra! Trendy styles await."/>
    <n v="498"/>
    <n v="701"/>
    <n v="412"/>
    <n v="4980"/>
    <n v="4185"/>
    <n v="185"/>
    <s v="#FashionDeals,#StyleWithMyntra"/>
    <x v="3"/>
    <n v="1611"/>
  </r>
  <r>
    <s v="P122"/>
    <s v="Instagram"/>
    <s v="2024-10-02"/>
    <x v="1"/>
    <s v="Explore the latest text on Myntra! Trendy styles await."/>
    <n v="3432"/>
    <n v="869"/>
    <n v="123"/>
    <n v="54912"/>
    <n v="53916"/>
    <n v="264"/>
    <s v="#MyntraFashion,#MyntraTrend"/>
    <x v="1"/>
    <n v="4424"/>
  </r>
  <r>
    <s v="P123"/>
    <s v="Instagram"/>
    <s v="2024-06-14"/>
    <x v="2"/>
    <s v="Explore the latest story on Myntra! Trendy styles await."/>
    <n v="4363"/>
    <n v="649"/>
    <n v="140"/>
    <n v="21815"/>
    <n v="21481"/>
    <n v="157"/>
    <s v="#MyntraSale,#MyntraFashion"/>
    <x v="1"/>
    <n v="5152"/>
  </r>
  <r>
    <s v="P124"/>
    <s v="YouTube"/>
    <s v="2025-04-06"/>
    <x v="3"/>
    <s v="Explore the latest carousel on Myntra! Trendy styles await."/>
    <n v="736"/>
    <n v="771"/>
    <n v="225"/>
    <n v="5152"/>
    <n v="4706"/>
    <n v="19"/>
    <s v="#StyleWithMyntra"/>
    <x v="2"/>
    <n v="1732"/>
  </r>
  <r>
    <s v="P125"/>
    <s v="Twitter"/>
    <s v="2024-09-08"/>
    <x v="3"/>
    <s v="Explore the latest carousel on Myntra! Trendy styles await."/>
    <n v="3811"/>
    <n v="866"/>
    <n v="216"/>
    <n v="34299"/>
    <n v="34088"/>
    <n v="233"/>
    <s v="#StyleWithMyntra"/>
    <x v="2"/>
    <n v="4893"/>
  </r>
  <r>
    <s v="P126"/>
    <s v="Instagram"/>
    <s v="2025-03-28"/>
    <x v="3"/>
    <s v="Explore the latest carousel on Myntra! Trendy styles await."/>
    <n v="4158"/>
    <n v="167"/>
    <n v="241"/>
    <n v="45738"/>
    <n v="45183"/>
    <n v="142"/>
    <s v="#MyntraFashion"/>
    <x v="1"/>
    <n v="4566"/>
  </r>
  <r>
    <s v="P127"/>
    <s v="Facebook"/>
    <s v="2025-01-27"/>
    <x v="0"/>
    <s v="Explore the latest reel on Myntra! Trendy styles await."/>
    <n v="3452"/>
    <n v="652"/>
    <n v="442"/>
    <n v="65588"/>
    <n v="65049"/>
    <n v="158"/>
    <s v="#MyntraSale,#StyleWithMyntra"/>
    <x v="0"/>
    <n v="4546"/>
  </r>
  <r>
    <s v="P128"/>
    <s v="Twitter"/>
    <s v="2025-01-10"/>
    <x v="4"/>
    <s v="Explore the latest image on Myntra! Trendy styles await."/>
    <n v="3092"/>
    <n v="106"/>
    <n v="291"/>
    <n v="27828"/>
    <n v="27217"/>
    <n v="102"/>
    <s v="#StyleWithMyntra"/>
    <x v="3"/>
    <n v="3489"/>
  </r>
  <r>
    <s v="P129"/>
    <s v="Twitter"/>
    <s v="2024-07-21"/>
    <x v="1"/>
    <s v="Explore the latest text on Myntra! Trendy styles await."/>
    <n v="2147"/>
    <n v="430"/>
    <n v="393"/>
    <n v="17176"/>
    <n v="16483"/>
    <n v="170"/>
    <s v="#FashionDeals"/>
    <x v="3"/>
    <n v="2970"/>
  </r>
  <r>
    <s v="P130"/>
    <s v="YouTube"/>
    <s v="2024-09-29"/>
    <x v="0"/>
    <s v="Explore the latest reel on Myntra! Trendy styles await."/>
    <n v="2936"/>
    <n v="439"/>
    <n v="44"/>
    <n v="38168"/>
    <n v="37571"/>
    <n v="22"/>
    <s v="#MyntraSale"/>
    <x v="2"/>
    <n v="3419"/>
  </r>
  <r>
    <s v="P131"/>
    <s v="Instagram"/>
    <s v="2024-10-21"/>
    <x v="0"/>
    <s v="Explore the latest reel on Myntra! Trendy styles await."/>
    <n v="4840"/>
    <n v="658"/>
    <n v="211"/>
    <n v="43560"/>
    <n v="43225"/>
    <n v="57"/>
    <s v="#MyntraSale,#MyntraFashion"/>
    <x v="1"/>
    <n v="5709"/>
  </r>
  <r>
    <s v="P132"/>
    <s v="Instagram"/>
    <s v="2025-03-04"/>
    <x v="2"/>
    <s v="Explore the latest story on Myntra! Trendy styles await."/>
    <n v="1947"/>
    <n v="842"/>
    <n v="101"/>
    <n v="21417"/>
    <n v="20967"/>
    <n v="186"/>
    <s v="#MyntraFashion"/>
    <x v="1"/>
    <n v="2890"/>
  </r>
  <r>
    <s v="P133"/>
    <s v="Facebook"/>
    <s v="2025-02-06"/>
    <x v="4"/>
    <s v="Explore the latest image on Myntra! Trendy styles await."/>
    <n v="2072"/>
    <n v="532"/>
    <n v="71"/>
    <n v="37296"/>
    <n v="36467"/>
    <n v="25"/>
    <s v="#MyntraSale"/>
    <x v="2"/>
    <n v="2675"/>
  </r>
  <r>
    <s v="P134"/>
    <s v="Twitter"/>
    <s v="2025-04-24"/>
    <x v="0"/>
    <s v="Explore the latest reel on Myntra! Trendy styles await."/>
    <n v="3731"/>
    <n v="115"/>
    <n v="135"/>
    <n v="55965"/>
    <n v="55436"/>
    <n v="103"/>
    <s v="#FashionDeals"/>
    <x v="3"/>
    <n v="3981"/>
  </r>
  <r>
    <s v="P135"/>
    <s v="Facebook"/>
    <s v="2024-11-28"/>
    <x v="1"/>
    <s v="Explore the latest text on Myntra! Trendy styles await."/>
    <n v="4213"/>
    <n v="253"/>
    <n v="434"/>
    <n v="75834"/>
    <n v="75437"/>
    <n v="272"/>
    <s v="#MyntraTrend"/>
    <x v="2"/>
    <n v="4900"/>
  </r>
  <r>
    <s v="P136"/>
    <s v="Instagram"/>
    <s v="2024-07-11"/>
    <x v="1"/>
    <s v="Explore the latest text on Myntra! Trendy styles await."/>
    <n v="3134"/>
    <n v="888"/>
    <n v="444"/>
    <n v="21938"/>
    <n v="21337"/>
    <n v="130"/>
    <s v="#MyntraSale,#MyntraFashion"/>
    <x v="3"/>
    <n v="4466"/>
  </r>
  <r>
    <s v="P137"/>
    <s v="Facebook"/>
    <s v="2024-07-31"/>
    <x v="5"/>
    <s v="Explore the latest video on Myntra! Trendy styles await."/>
    <n v="3008"/>
    <n v="94"/>
    <n v="37"/>
    <n v="15040"/>
    <n v="14639"/>
    <n v="277"/>
    <s v="#FashionDeals"/>
    <x v="0"/>
    <n v="3139"/>
  </r>
  <r>
    <s v="P138"/>
    <s v="Twitter"/>
    <s v="2025-03-29"/>
    <x v="4"/>
    <s v="Explore the latest image on Myntra! Trendy styles await."/>
    <n v="305"/>
    <n v="187"/>
    <n v="243"/>
    <n v="4575"/>
    <n v="3704"/>
    <n v="234"/>
    <s v="#MyntraFashion,#MyntraTrend"/>
    <x v="3"/>
    <n v="735"/>
  </r>
  <r>
    <s v="P139"/>
    <s v="YouTube"/>
    <s v="2024-10-29"/>
    <x v="1"/>
    <s v="Explore the latest text on Myntra! Trendy styles await."/>
    <n v="2746"/>
    <n v="156"/>
    <n v="203"/>
    <n v="32952"/>
    <n v="32147"/>
    <n v="147"/>
    <s v="#MyntraFashion,#StyleWithMyntra"/>
    <x v="1"/>
    <n v="3105"/>
  </r>
  <r>
    <s v="P140"/>
    <s v="Facebook"/>
    <s v="2024-07-15"/>
    <x v="4"/>
    <s v="Explore the latest image on Myntra! Trendy styles await."/>
    <n v="2291"/>
    <n v="78"/>
    <n v="485"/>
    <n v="18328"/>
    <n v="18101"/>
    <n v="10"/>
    <s v="#FashionDeals"/>
    <x v="0"/>
    <n v="2854"/>
  </r>
  <r>
    <s v="P141"/>
    <s v="Twitter"/>
    <s v="2024-08-31"/>
    <x v="4"/>
    <s v="Explore the latest image on Myntra! Trendy styles await."/>
    <n v="3170"/>
    <n v="857"/>
    <n v="379"/>
    <n v="19020"/>
    <n v="18559"/>
    <n v="240"/>
    <s v="#MyntraSale"/>
    <x v="2"/>
    <n v="4406"/>
  </r>
  <r>
    <s v="P142"/>
    <s v="YouTube"/>
    <s v="2025-03-25"/>
    <x v="2"/>
    <s v="Explore the latest story on Myntra! Trendy styles await."/>
    <n v="2070"/>
    <n v="275"/>
    <n v="386"/>
    <n v="39330"/>
    <n v="38627"/>
    <n v="114"/>
    <s v="#MyntraSale"/>
    <x v="3"/>
    <n v="2731"/>
  </r>
  <r>
    <s v="P143"/>
    <s v="YouTube"/>
    <s v="2024-10-02"/>
    <x v="3"/>
    <s v="Explore the latest carousel on Myntra! Trendy styles await."/>
    <n v="80"/>
    <n v="362"/>
    <n v="80"/>
    <n v="1040"/>
    <n v="349"/>
    <n v="117"/>
    <s v="#MyntraFashion,#StyleWithMyntra"/>
    <x v="1"/>
    <n v="522"/>
  </r>
  <r>
    <s v="P144"/>
    <s v="YouTube"/>
    <s v="2024-10-28"/>
    <x v="2"/>
    <s v="Explore the latest story on Myntra! Trendy styles await."/>
    <n v="4929"/>
    <n v="749"/>
    <n v="452"/>
    <n v="93651"/>
    <n v="92810"/>
    <n v="66"/>
    <s v="#MyntraTrend,#StyleWithMyntra"/>
    <x v="0"/>
    <n v="6130"/>
  </r>
  <r>
    <s v="P145"/>
    <s v="Instagram"/>
    <s v="2024-08-12"/>
    <x v="3"/>
    <s v="Explore the latest carousel on Myntra! Trendy styles await."/>
    <n v="1878"/>
    <n v="62"/>
    <n v="179"/>
    <n v="37560"/>
    <n v="36874"/>
    <n v="142"/>
    <s v="#FashionDeals,#MyntraTrend"/>
    <x v="0"/>
    <n v="2119"/>
  </r>
  <r>
    <s v="P146"/>
    <s v="YouTube"/>
    <s v="2024-06-05"/>
    <x v="0"/>
    <s v="Explore the latest reel on Myntra! Trendy styles await."/>
    <n v="3065"/>
    <n v="772"/>
    <n v="142"/>
    <n v="18390"/>
    <n v="17875"/>
    <n v="200"/>
    <s v="#StyleWithMyntra"/>
    <x v="0"/>
    <n v="3979"/>
  </r>
  <r>
    <s v="P147"/>
    <s v="Instagram"/>
    <s v="2024-10-21"/>
    <x v="0"/>
    <s v="Explore the latest reel on Myntra! Trendy styles await."/>
    <n v="3256"/>
    <n v="459"/>
    <n v="266"/>
    <n v="26048"/>
    <n v="25529"/>
    <n v="143"/>
    <s v="#MyntraSale,#StyleWithMyntra"/>
    <x v="2"/>
    <n v="3981"/>
  </r>
  <r>
    <s v="P148"/>
    <s v="Instagram"/>
    <s v="2025-04-15"/>
    <x v="5"/>
    <s v="Explore the latest video on Myntra! Trendy styles await."/>
    <n v="4133"/>
    <n v="466"/>
    <n v="327"/>
    <n v="24798"/>
    <n v="24620"/>
    <n v="176"/>
    <s v="#StyleWithMyntra"/>
    <x v="1"/>
    <n v="4926"/>
  </r>
  <r>
    <s v="P149"/>
    <s v="Twitter"/>
    <s v="2024-06-16"/>
    <x v="5"/>
    <s v="Explore the latest video on Myntra! Trendy styles await."/>
    <n v="1702"/>
    <n v="750"/>
    <n v="179"/>
    <n v="34040"/>
    <n v="33174"/>
    <n v="76"/>
    <s v="#MyntraTrend"/>
    <x v="2"/>
    <n v="2631"/>
  </r>
  <r>
    <s v="P150"/>
    <s v="YouTube"/>
    <s v="2024-08-22"/>
    <x v="3"/>
    <s v="Explore the latest carousel on Myntra! Trendy styles await."/>
    <n v="4295"/>
    <n v="853"/>
    <n v="325"/>
    <n v="85900"/>
    <n v="85788"/>
    <n v="290"/>
    <s v="#MyntraTrend,#MyntraSale"/>
    <x v="1"/>
    <n v="5473"/>
  </r>
  <r>
    <s v="P151"/>
    <s v="Instagram"/>
    <s v="2024-07-26"/>
    <x v="4"/>
    <s v="Explore the latest image on Myntra! Trendy styles await."/>
    <n v="3559"/>
    <n v="59"/>
    <n v="289"/>
    <n v="35590"/>
    <n v="35105"/>
    <n v="122"/>
    <s v="#MyntraTrend,#StyleWithMyntra"/>
    <x v="2"/>
    <n v="3907"/>
  </r>
  <r>
    <s v="P152"/>
    <s v="Facebook"/>
    <s v="2025-04-22"/>
    <x v="4"/>
    <s v="Explore the latest image on Myntra! Trendy styles await."/>
    <n v="4804"/>
    <n v="550"/>
    <n v="270"/>
    <n v="28824"/>
    <n v="28370"/>
    <n v="47"/>
    <s v="#MyntraSale,#StyleWithMyntra"/>
    <x v="3"/>
    <n v="5624"/>
  </r>
  <r>
    <s v="P153"/>
    <s v="Twitter"/>
    <s v="2025-01-01"/>
    <x v="5"/>
    <s v="Explore the latest video on Myntra! Trendy styles await."/>
    <n v="754"/>
    <n v="197"/>
    <n v="257"/>
    <n v="6786"/>
    <n v="6221"/>
    <n v="212"/>
    <s v="#FashionDeals,#MyntraTrend"/>
    <x v="2"/>
    <n v="1208"/>
  </r>
  <r>
    <s v="P154"/>
    <s v="Instagram"/>
    <s v="2024-10-09"/>
    <x v="3"/>
    <s v="Explore the latest carousel on Myntra! Trendy styles await."/>
    <n v="985"/>
    <n v="932"/>
    <n v="287"/>
    <n v="6895"/>
    <n v="6757"/>
    <n v="64"/>
    <s v="#MyntraSale,#MyntraFashion"/>
    <x v="1"/>
    <n v="2204"/>
  </r>
  <r>
    <s v="P155"/>
    <s v="YouTube"/>
    <s v="2024-12-21"/>
    <x v="4"/>
    <s v="Explore the latest image on Myntra! Trendy styles await."/>
    <n v="2283"/>
    <n v="210"/>
    <n v="130"/>
    <n v="22830"/>
    <n v="22617"/>
    <n v="143"/>
    <s v="#MyntraFashion,#StyleWithMyntra"/>
    <x v="2"/>
    <n v="2623"/>
  </r>
  <r>
    <s v="P156"/>
    <s v="Facebook"/>
    <s v="2024-10-22"/>
    <x v="3"/>
    <s v="Explore the latest carousel on Myntra! Trendy styles await."/>
    <n v="3352"/>
    <n v="941"/>
    <n v="482"/>
    <n v="43576"/>
    <n v="43338"/>
    <n v="240"/>
    <s v="#MyntraTrend"/>
    <x v="2"/>
    <n v="4775"/>
  </r>
  <r>
    <s v="P157"/>
    <s v="YouTube"/>
    <s v="2024-07-23"/>
    <x v="2"/>
    <s v="Explore the latest story on Myntra! Trendy styles await."/>
    <n v="4775"/>
    <n v="173"/>
    <n v="206"/>
    <n v="47750"/>
    <n v="47544"/>
    <n v="187"/>
    <s v="#StyleWithMyntra,#MyntraTrend"/>
    <x v="3"/>
    <n v="5154"/>
  </r>
  <r>
    <s v="P158"/>
    <s v="Instagram"/>
    <s v="2024-08-11"/>
    <x v="2"/>
    <s v="Explore the latest story on Myntra! Trendy styles await."/>
    <n v="1762"/>
    <n v="405"/>
    <n v="423"/>
    <n v="22906"/>
    <n v="21925"/>
    <n v="25"/>
    <s v="#FashionDeals"/>
    <x v="1"/>
    <n v="2590"/>
  </r>
  <r>
    <s v="P159"/>
    <s v="Facebook"/>
    <s v="2024-11-25"/>
    <x v="2"/>
    <s v="Explore the latest story on Myntra! Trendy styles await."/>
    <n v="2120"/>
    <n v="158"/>
    <n v="488"/>
    <n v="12720"/>
    <n v="12085"/>
    <n v="17"/>
    <s v="#StyleWithMyntra,#MyntraTrend"/>
    <x v="1"/>
    <n v="2766"/>
  </r>
  <r>
    <s v="P160"/>
    <s v="Twitter"/>
    <s v="2024-08-24"/>
    <x v="5"/>
    <s v="Explore the latest video on Myntra! Trendy styles await."/>
    <n v="1082"/>
    <n v="209"/>
    <n v="484"/>
    <n v="19476"/>
    <n v="18654"/>
    <n v="20"/>
    <s v="#StyleWithMyntra"/>
    <x v="3"/>
    <n v="1775"/>
  </r>
  <r>
    <s v="P161"/>
    <s v="Twitter"/>
    <s v="2025-02-19"/>
    <x v="1"/>
    <s v="Explore the latest text on Myntra! Trendy styles await."/>
    <n v="4671"/>
    <n v="876"/>
    <n v="366"/>
    <n v="51381"/>
    <n v="50565"/>
    <n v="245"/>
    <s v="#MyntraSale"/>
    <x v="1"/>
    <n v="5913"/>
  </r>
  <r>
    <s v="P162"/>
    <s v="Facebook"/>
    <s v="2025-04-01"/>
    <x v="2"/>
    <s v="Explore the latest story on Myntra! Trendy styles await."/>
    <n v="3430"/>
    <n v="566"/>
    <n v="164"/>
    <n v="48020"/>
    <n v="47305"/>
    <n v="120"/>
    <s v="#MyntraTrend"/>
    <x v="1"/>
    <n v="4160"/>
  </r>
  <r>
    <s v="P163"/>
    <s v="Instagram"/>
    <s v="2025-04-08"/>
    <x v="4"/>
    <s v="Explore the latest image on Myntra! Trendy styles await."/>
    <n v="4501"/>
    <n v="375"/>
    <n v="323"/>
    <n v="22505"/>
    <n v="21836"/>
    <n v="132"/>
    <s v="#MyntraFashion"/>
    <x v="3"/>
    <n v="5199"/>
  </r>
  <r>
    <s v="P164"/>
    <s v="YouTube"/>
    <s v="2025-02-27"/>
    <x v="1"/>
    <s v="Explore the latest text on Myntra! Trendy styles await."/>
    <n v="4934"/>
    <n v="971"/>
    <n v="156"/>
    <n v="39472"/>
    <n v="39025"/>
    <n v="169"/>
    <s v="#FashionDeals,#StyleWithMyntra"/>
    <x v="1"/>
    <n v="6061"/>
  </r>
  <r>
    <s v="P165"/>
    <s v="Twitter"/>
    <s v="2024-12-11"/>
    <x v="1"/>
    <s v="Explore the latest text on Myntra! Trendy styles await."/>
    <n v="3239"/>
    <n v="43"/>
    <n v="211"/>
    <n v="22673"/>
    <n v="22171"/>
    <n v="230"/>
    <s v="#MyntraTrend,#StyleWithMyntra"/>
    <x v="1"/>
    <n v="3493"/>
  </r>
  <r>
    <s v="P166"/>
    <s v="Twitter"/>
    <s v="2025-02-16"/>
    <x v="0"/>
    <s v="Explore the latest reel on Myntra! Trendy styles await."/>
    <n v="1076"/>
    <n v="313"/>
    <n v="306"/>
    <n v="11836"/>
    <n v="11596"/>
    <n v="104"/>
    <s v="#FashionDeals"/>
    <x v="1"/>
    <n v="1695"/>
  </r>
  <r>
    <s v="P167"/>
    <s v="Instagram"/>
    <s v="2024-11-28"/>
    <x v="1"/>
    <s v="Explore the latest text on Myntra! Trendy styles await."/>
    <n v="4771"/>
    <n v="818"/>
    <n v="56"/>
    <n v="57252"/>
    <n v="56378"/>
    <n v="150"/>
    <s v="#MyntraSale"/>
    <x v="1"/>
    <n v="5645"/>
  </r>
  <r>
    <s v="P168"/>
    <s v="Facebook"/>
    <s v="2024-11-12"/>
    <x v="1"/>
    <s v="Explore the latest text on Myntra! Trendy styles await."/>
    <n v="2418"/>
    <n v="754"/>
    <n v="54"/>
    <n v="43524"/>
    <n v="42743"/>
    <n v="182"/>
    <s v="#MyntraFashion,#MyntraTrend"/>
    <x v="3"/>
    <n v="3226"/>
  </r>
  <r>
    <s v="P169"/>
    <s v="YouTube"/>
    <s v="2024-12-03"/>
    <x v="5"/>
    <s v="Explore the latest video on Myntra! Trendy styles await."/>
    <n v="3809"/>
    <n v="273"/>
    <n v="200"/>
    <n v="34281"/>
    <n v="33534"/>
    <n v="83"/>
    <s v="#MyntraTrend"/>
    <x v="2"/>
    <n v="4282"/>
  </r>
  <r>
    <s v="P170"/>
    <s v="Twitter"/>
    <s v="2025-04-28"/>
    <x v="1"/>
    <s v="Explore the latest text on Myntra! Trendy styles await."/>
    <n v="3577"/>
    <n v="596"/>
    <n v="493"/>
    <n v="67963"/>
    <n v="67839"/>
    <n v="53"/>
    <s v="#StyleWithMyntra,#MyntraTrend"/>
    <x v="3"/>
    <n v="4666"/>
  </r>
  <r>
    <s v="P171"/>
    <s v="YouTube"/>
    <s v="2024-12-31"/>
    <x v="5"/>
    <s v="Explore the latest video on Myntra! Trendy styles await."/>
    <n v="1018"/>
    <n v="447"/>
    <n v="332"/>
    <n v="18324"/>
    <n v="18164"/>
    <n v="38"/>
    <s v="#MyntraSale,#MyntraFashion"/>
    <x v="3"/>
    <n v="1797"/>
  </r>
  <r>
    <s v="P172"/>
    <s v="Facebook"/>
    <s v="2024-08-14"/>
    <x v="3"/>
    <s v="Explore the latest carousel on Myntra! Trendy styles await."/>
    <n v="3073"/>
    <n v="553"/>
    <n v="174"/>
    <n v="52241"/>
    <n v="51605"/>
    <n v="246"/>
    <s v="#MyntraFashion,#StyleWithMyntra"/>
    <x v="3"/>
    <n v="3800"/>
  </r>
  <r>
    <s v="P173"/>
    <s v="Twitter"/>
    <s v="2024-12-05"/>
    <x v="5"/>
    <s v="Explore the latest video on Myntra! Trendy styles await."/>
    <n v="1330"/>
    <n v="925"/>
    <n v="35"/>
    <n v="15960"/>
    <n v="15379"/>
    <n v="229"/>
    <s v="#FashionDeals,#MyntraTrend"/>
    <x v="3"/>
    <n v="2290"/>
  </r>
  <r>
    <s v="P174"/>
    <s v="Facebook"/>
    <s v="2024-06-22"/>
    <x v="1"/>
    <s v="Explore the latest text on Myntra! Trendy styles await."/>
    <n v="3828"/>
    <n v="148"/>
    <n v="253"/>
    <n v="30624"/>
    <n v="30229"/>
    <n v="235"/>
    <s v="#MyntraSale,#StyleWithMyntra"/>
    <x v="3"/>
    <n v="4229"/>
  </r>
  <r>
    <s v="P175"/>
    <s v="Instagram"/>
    <s v="2025-01-17"/>
    <x v="0"/>
    <s v="Explore the latest reel on Myntra! Trendy styles await."/>
    <n v="142"/>
    <n v="784"/>
    <n v="183"/>
    <n v="1704"/>
    <n v="995"/>
    <n v="154"/>
    <s v="#MyntraSale"/>
    <x v="0"/>
    <n v="1109"/>
  </r>
  <r>
    <s v="P176"/>
    <s v="Facebook"/>
    <s v="2024-06-20"/>
    <x v="5"/>
    <s v="Explore the latest video on Myntra! Trendy styles await."/>
    <n v="3798"/>
    <n v="31"/>
    <n v="279"/>
    <n v="75960"/>
    <n v="75813"/>
    <n v="266"/>
    <s v="#MyntraFashion"/>
    <x v="1"/>
    <n v="4108"/>
  </r>
  <r>
    <s v="P177"/>
    <s v="Instagram"/>
    <s v="2024-07-10"/>
    <x v="3"/>
    <s v="Explore the latest carousel on Myntra! Trendy styles await."/>
    <n v="3099"/>
    <n v="694"/>
    <n v="171"/>
    <n v="43386"/>
    <n v="42921"/>
    <n v="52"/>
    <s v="#FashionDeals"/>
    <x v="3"/>
    <n v="3964"/>
  </r>
  <r>
    <s v="P178"/>
    <s v="Instagram"/>
    <s v="2024-11-07"/>
    <x v="5"/>
    <s v="Explore the latest video on Myntra! Trendy styles await."/>
    <n v="129"/>
    <n v="643"/>
    <n v="136"/>
    <n v="1290"/>
    <n v="839"/>
    <n v="238"/>
    <s v="#StyleWithMyntra,#FashionDeals"/>
    <x v="3"/>
    <n v="908"/>
  </r>
  <r>
    <s v="P179"/>
    <s v="Facebook"/>
    <s v="2024-07-15"/>
    <x v="3"/>
    <s v="Explore the latest carousel on Myntra! Trendy styles await."/>
    <n v="3796"/>
    <n v="667"/>
    <n v="395"/>
    <n v="64532"/>
    <n v="63550"/>
    <n v="292"/>
    <s v="#StyleWithMyntra"/>
    <x v="0"/>
    <n v="4858"/>
  </r>
  <r>
    <s v="P180"/>
    <s v="YouTube"/>
    <s v="2024-12-03"/>
    <x v="1"/>
    <s v="Explore the latest text on Myntra! Trendy styles await."/>
    <n v="3711"/>
    <n v="352"/>
    <n v="290"/>
    <n v="48243"/>
    <n v="47579"/>
    <n v="11"/>
    <s v="#StyleWithMyntra,#FashionDeals"/>
    <x v="3"/>
    <n v="4353"/>
  </r>
  <r>
    <s v="P181"/>
    <s v="YouTube"/>
    <s v="2025-03-21"/>
    <x v="4"/>
    <s v="Explore the latest image on Myntra! Trendy styles await."/>
    <n v="606"/>
    <n v="789"/>
    <n v="470"/>
    <n v="7878"/>
    <n v="7389"/>
    <n v="239"/>
    <s v="#MyntraSale"/>
    <x v="1"/>
    <n v="1865"/>
  </r>
  <r>
    <s v="P182"/>
    <s v="Facebook"/>
    <s v="2024-07-31"/>
    <x v="4"/>
    <s v="Explore the latest image on Myntra! Trendy styles await."/>
    <n v="4689"/>
    <n v="134"/>
    <n v="403"/>
    <n v="51579"/>
    <n v="50924"/>
    <n v="173"/>
    <s v="#FashionDeals"/>
    <x v="0"/>
    <n v="5226"/>
  </r>
  <r>
    <s v="P183"/>
    <s v="Instagram"/>
    <s v="2024-12-17"/>
    <x v="2"/>
    <s v="Explore the latest story on Myntra! Trendy styles await."/>
    <n v="360"/>
    <n v="590"/>
    <n v="393"/>
    <n v="4680"/>
    <n v="4322"/>
    <n v="208"/>
    <s v="#StyleWithMyntra,#FashionDeals"/>
    <x v="1"/>
    <n v="1343"/>
  </r>
  <r>
    <s v="P184"/>
    <s v="Twitter"/>
    <s v="2024-07-28"/>
    <x v="4"/>
    <s v="Explore the latest image on Myntra! Trendy styles await."/>
    <n v="3215"/>
    <n v="960"/>
    <n v="202"/>
    <n v="32150"/>
    <n v="31404"/>
    <n v="251"/>
    <s v="#StyleWithMyntra"/>
    <x v="2"/>
    <n v="4377"/>
  </r>
  <r>
    <s v="P185"/>
    <s v="Instagram"/>
    <s v="2025-01-11"/>
    <x v="3"/>
    <s v="Explore the latest carousel on Myntra! Trendy styles await."/>
    <n v="4523"/>
    <n v="61"/>
    <n v="157"/>
    <n v="49753"/>
    <n v="49329"/>
    <n v="71"/>
    <s v="#MyntraSale,#MyntraTrend"/>
    <x v="3"/>
    <n v="4741"/>
  </r>
  <r>
    <s v="P186"/>
    <s v="Facebook"/>
    <s v="2024-08-24"/>
    <x v="3"/>
    <s v="Explore the latest carousel on Myntra! Trendy styles await."/>
    <n v="4292"/>
    <n v="51"/>
    <n v="392"/>
    <n v="55796"/>
    <n v="54826"/>
    <n v="264"/>
    <s v="#MyntraTrend,#StyleWithMyntra"/>
    <x v="0"/>
    <n v="4735"/>
  </r>
  <r>
    <s v="P187"/>
    <s v="Twitter"/>
    <s v="2024-12-22"/>
    <x v="0"/>
    <s v="Explore the latest reel on Myntra! Trendy styles await."/>
    <n v="1644"/>
    <n v="546"/>
    <n v="150"/>
    <n v="27948"/>
    <n v="27184"/>
    <n v="300"/>
    <s v="#MyntraSale,#MyntraTrend"/>
    <x v="0"/>
    <n v="2340"/>
  </r>
  <r>
    <s v="P188"/>
    <s v="YouTube"/>
    <s v="2024-06-06"/>
    <x v="0"/>
    <s v="Explore the latest reel on Myntra! Trendy styles await."/>
    <n v="2728"/>
    <n v="533"/>
    <n v="215"/>
    <n v="40920"/>
    <n v="40816"/>
    <n v="137"/>
    <s v="#MyntraSale"/>
    <x v="1"/>
    <n v="3476"/>
  </r>
  <r>
    <s v="P189"/>
    <s v="Facebook"/>
    <s v="2025-03-24"/>
    <x v="0"/>
    <s v="Explore the latest reel on Myntra! Trendy styles await."/>
    <n v="3360"/>
    <n v="525"/>
    <n v="500"/>
    <n v="60480"/>
    <n v="59610"/>
    <n v="192"/>
    <s v="#MyntraSale,#StyleWithMyntra"/>
    <x v="0"/>
    <n v="4385"/>
  </r>
  <r>
    <s v="P190"/>
    <s v="YouTube"/>
    <s v="2024-10-04"/>
    <x v="1"/>
    <s v="Explore the latest text on Myntra! Trendy styles await."/>
    <n v="1963"/>
    <n v="213"/>
    <n v="19"/>
    <n v="39260"/>
    <n v="38771"/>
    <n v="145"/>
    <s v="#StyleWithMyntra"/>
    <x v="0"/>
    <n v="2195"/>
  </r>
  <r>
    <s v="P191"/>
    <s v="YouTube"/>
    <s v="2024-12-03"/>
    <x v="2"/>
    <s v="Explore the latest story on Myntra! Trendy styles await."/>
    <n v="4285"/>
    <n v="886"/>
    <n v="376"/>
    <n v="55705"/>
    <n v="55556"/>
    <n v="51"/>
    <s v="#MyntraFashion,#FashionDeals"/>
    <x v="3"/>
    <n v="5547"/>
  </r>
  <r>
    <s v="P192"/>
    <s v="Instagram"/>
    <s v="2024-11-29"/>
    <x v="5"/>
    <s v="Explore the latest video on Myntra! Trendy styles await."/>
    <n v="1176"/>
    <n v="464"/>
    <n v="394"/>
    <n v="14112"/>
    <n v="13588"/>
    <n v="272"/>
    <s v="#FashionDeals"/>
    <x v="0"/>
    <n v="2034"/>
  </r>
  <r>
    <s v="P193"/>
    <s v="Twitter"/>
    <s v="2024-09-11"/>
    <x v="4"/>
    <s v="Explore the latest image on Myntra! Trendy styles await."/>
    <n v="4858"/>
    <n v="317"/>
    <n v="129"/>
    <n v="53438"/>
    <n v="52687"/>
    <n v="223"/>
    <s v="#FashionDeals,#MyntraTrend"/>
    <x v="0"/>
    <n v="5304"/>
  </r>
  <r>
    <s v="P194"/>
    <s v="YouTube"/>
    <s v="2024-10-02"/>
    <x v="2"/>
    <s v="Explore the latest story on Myntra! Trendy styles await."/>
    <n v="4350"/>
    <n v="771"/>
    <n v="7"/>
    <n v="60900"/>
    <n v="60592"/>
    <n v="195"/>
    <s v="#FashionDeals,#StyleWithMyntra"/>
    <x v="1"/>
    <n v="5128"/>
  </r>
  <r>
    <s v="P195"/>
    <s v="Instagram"/>
    <s v="2024-08-15"/>
    <x v="3"/>
    <s v="Explore the latest carousel on Myntra! Trendy styles await."/>
    <n v="914"/>
    <n v="464"/>
    <n v="246"/>
    <n v="11882"/>
    <n v="11500"/>
    <n v="282"/>
    <s v="#MyntraFashion,#MyntraTrend"/>
    <x v="2"/>
    <n v="1624"/>
  </r>
  <r>
    <s v="P196"/>
    <s v="Instagram"/>
    <s v="2024-12-19"/>
    <x v="1"/>
    <s v="Explore the latest text on Myntra! Trendy styles await."/>
    <n v="1813"/>
    <n v="623"/>
    <n v="72"/>
    <n v="19943"/>
    <n v="18959"/>
    <n v="85"/>
    <s v="#MyntraTrend,#MyntraFashion"/>
    <x v="2"/>
    <n v="2508"/>
  </r>
  <r>
    <s v="P197"/>
    <s v="Twitter"/>
    <s v="2024-10-22"/>
    <x v="0"/>
    <s v="Explore the latest reel on Myntra! Trendy styles await."/>
    <n v="4782"/>
    <n v="721"/>
    <n v="82"/>
    <n v="86076"/>
    <n v="85339"/>
    <n v="19"/>
    <s v="#FashionDeals"/>
    <x v="1"/>
    <n v="5585"/>
  </r>
  <r>
    <s v="P198"/>
    <s v="Twitter"/>
    <s v="2024-09-14"/>
    <x v="4"/>
    <s v="Explore the latest image on Myntra! Trendy styles await."/>
    <n v="1048"/>
    <n v="374"/>
    <n v="450"/>
    <n v="9432"/>
    <n v="8882"/>
    <n v="158"/>
    <s v="#MyntraTrend,#MyntraSale"/>
    <x v="1"/>
    <n v="1872"/>
  </r>
  <r>
    <s v="P199"/>
    <s v="YouTube"/>
    <s v="2024-11-30"/>
    <x v="3"/>
    <s v="Explore the latest carousel on Myntra! Trendy styles await."/>
    <n v="2509"/>
    <n v="324"/>
    <n v="171"/>
    <n v="35126"/>
    <n v="34685"/>
    <n v="277"/>
    <s v="#FashionDeals"/>
    <x v="1"/>
    <n v="3004"/>
  </r>
  <r>
    <s v="P200"/>
    <s v="Facebook"/>
    <s v="2025-04-07"/>
    <x v="0"/>
    <s v="Explore the latest reel on Myntra! Trendy styles await."/>
    <n v="3718"/>
    <n v="385"/>
    <n v="310"/>
    <n v="70642"/>
    <n v="69749"/>
    <n v="233"/>
    <s v="#MyntraTrend"/>
    <x v="0"/>
    <n v="4413"/>
  </r>
  <r>
    <s v="P201"/>
    <s v="Twitter"/>
    <s v="2025-01-15"/>
    <x v="0"/>
    <s v="Explore the latest reel on Myntra! Trendy styles await."/>
    <n v="802"/>
    <n v="262"/>
    <n v="244"/>
    <n v="14436"/>
    <n v="14280"/>
    <n v="49"/>
    <s v="#MyntraSale,#FashionDeals"/>
    <x v="3"/>
    <n v="1308"/>
  </r>
  <r>
    <s v="P202"/>
    <s v="Facebook"/>
    <s v="2024-06-02"/>
    <x v="4"/>
    <s v="Explore the latest image on Myntra! Trendy styles await."/>
    <n v="1871"/>
    <n v="252"/>
    <n v="335"/>
    <n v="29936"/>
    <n v="29576"/>
    <n v="288"/>
    <s v="#MyntraTrend"/>
    <x v="1"/>
    <n v="2458"/>
  </r>
  <r>
    <s v="P203"/>
    <s v="Instagram"/>
    <s v="2024-11-21"/>
    <x v="3"/>
    <s v="Explore the latest carousel on Myntra! Trendy styles await."/>
    <n v="3773"/>
    <n v="299"/>
    <n v="38"/>
    <n v="71687"/>
    <n v="71447"/>
    <n v="286"/>
    <s v="#MyntraTrend"/>
    <x v="3"/>
    <n v="4110"/>
  </r>
  <r>
    <s v="P204"/>
    <s v="Instagram"/>
    <s v="2025-01-01"/>
    <x v="3"/>
    <s v="Explore the latest carousel on Myntra! Trendy styles await."/>
    <n v="2234"/>
    <n v="653"/>
    <n v="432"/>
    <n v="11170"/>
    <n v="10569"/>
    <n v="198"/>
    <s v="#FashionDeals,#StyleWithMyntra"/>
    <x v="3"/>
    <n v="3319"/>
  </r>
  <r>
    <s v="P205"/>
    <s v="Twitter"/>
    <s v="2025-04-24"/>
    <x v="5"/>
    <s v="Explore the latest video on Myntra! Trendy styles await."/>
    <n v="3820"/>
    <n v="697"/>
    <n v="268"/>
    <n v="45840"/>
    <n v="45631"/>
    <n v="171"/>
    <s v="#StyleWithMyntra,#FashionDeals"/>
    <x v="0"/>
    <n v="4785"/>
  </r>
  <r>
    <s v="P206"/>
    <s v="Twitter"/>
    <s v="2024-06-24"/>
    <x v="1"/>
    <s v="Explore the latest text on Myntra! Trendy styles await."/>
    <n v="941"/>
    <n v="121"/>
    <n v="458"/>
    <n v="14115"/>
    <n v="13838"/>
    <n v="87"/>
    <s v="#MyntraFashion,#MyntraSale"/>
    <x v="1"/>
    <n v="1520"/>
  </r>
  <r>
    <s v="P207"/>
    <s v="Twitter"/>
    <s v="2024-12-29"/>
    <x v="3"/>
    <s v="Explore the latest carousel on Myntra! Trendy styles await."/>
    <n v="4274"/>
    <n v="340"/>
    <n v="281"/>
    <n v="34192"/>
    <n v="33446"/>
    <n v="129"/>
    <s v="#StyleWithMyntra,#FashionDeals"/>
    <x v="2"/>
    <n v="4895"/>
  </r>
  <r>
    <s v="P208"/>
    <s v="YouTube"/>
    <s v="2024-06-24"/>
    <x v="5"/>
    <s v="Explore the latest video on Myntra! Trendy styles await."/>
    <n v="2949"/>
    <n v="476"/>
    <n v="403"/>
    <n v="44235"/>
    <n v="43705"/>
    <n v="135"/>
    <s v="#MyntraTrend,#FashionDeals"/>
    <x v="0"/>
    <n v="3828"/>
  </r>
  <r>
    <s v="P209"/>
    <s v="Twitter"/>
    <s v="2025-03-19"/>
    <x v="5"/>
    <s v="Explore the latest video on Myntra! Trendy styles await."/>
    <n v="3160"/>
    <n v="204"/>
    <n v="297"/>
    <n v="44240"/>
    <n v="43666"/>
    <n v="49"/>
    <s v="#StyleWithMyntra,#MyntraTrend"/>
    <x v="0"/>
    <n v="3661"/>
  </r>
  <r>
    <s v="P210"/>
    <s v="YouTube"/>
    <s v="2025-02-19"/>
    <x v="4"/>
    <s v="Explore the latest image on Myntra! Trendy styles await."/>
    <n v="257"/>
    <n v="966"/>
    <n v="398"/>
    <n v="3341"/>
    <n v="2753"/>
    <n v="287"/>
    <s v="#MyntraTrend,#MyntraSale"/>
    <x v="0"/>
    <n v="1621"/>
  </r>
  <r>
    <s v="P211"/>
    <s v="Twitter"/>
    <s v="2024-07-18"/>
    <x v="3"/>
    <s v="Explore the latest carousel on Myntra! Trendy styles await."/>
    <n v="2120"/>
    <n v="38"/>
    <n v="212"/>
    <n v="12720"/>
    <n v="12564"/>
    <n v="21"/>
    <s v="#MyntraTrend,#MyntraSale"/>
    <x v="0"/>
    <n v="2370"/>
  </r>
  <r>
    <s v="P212"/>
    <s v="YouTube"/>
    <s v="2025-03-03"/>
    <x v="5"/>
    <s v="Explore the latest video on Myntra! Trendy styles await."/>
    <n v="3874"/>
    <n v="884"/>
    <n v="19"/>
    <n v="38740"/>
    <n v="38552"/>
    <n v="219"/>
    <s v="#StyleWithMyntra"/>
    <x v="3"/>
    <n v="4777"/>
  </r>
  <r>
    <s v="P213"/>
    <s v="Facebook"/>
    <s v="2025-05-01"/>
    <x v="3"/>
    <s v="Explore the latest carousel on Myntra! Trendy styles await."/>
    <n v="2696"/>
    <n v="628"/>
    <n v="443"/>
    <n v="45832"/>
    <n v="45632"/>
    <n v="248"/>
    <s v="#MyntraSale"/>
    <x v="2"/>
    <n v="3767"/>
  </r>
  <r>
    <s v="P214"/>
    <s v="Instagram"/>
    <s v="2024-12-23"/>
    <x v="4"/>
    <s v="Explore the latest image on Myntra! Trendy styles await."/>
    <n v="521"/>
    <n v="746"/>
    <n v="315"/>
    <n v="4168"/>
    <n v="3399"/>
    <n v="282"/>
    <s v="#MyntraSale"/>
    <x v="0"/>
    <n v="1582"/>
  </r>
  <r>
    <s v="P215"/>
    <s v="Facebook"/>
    <s v="2025-05-06"/>
    <x v="4"/>
    <s v="Explore the latest image on Myntra! Trendy styles await."/>
    <n v="4872"/>
    <n v="925"/>
    <n v="176"/>
    <n v="82824"/>
    <n v="82543"/>
    <n v="89"/>
    <s v="#MyntraSale,#MyntraTrend"/>
    <x v="0"/>
    <n v="5973"/>
  </r>
  <r>
    <s v="P216"/>
    <s v="YouTube"/>
    <s v="2024-07-29"/>
    <x v="2"/>
    <s v="Explore the latest story on Myntra! Trendy styles await."/>
    <n v="1509"/>
    <n v="88"/>
    <n v="163"/>
    <n v="30180"/>
    <n v="29689"/>
    <n v="119"/>
    <s v="#MyntraTrend"/>
    <x v="0"/>
    <n v="1760"/>
  </r>
  <r>
    <s v="P217"/>
    <s v="Facebook"/>
    <s v="2024-12-03"/>
    <x v="4"/>
    <s v="Explore the latest image on Myntra! Trendy styles await."/>
    <n v="4606"/>
    <n v="931"/>
    <n v="230"/>
    <n v="92120"/>
    <n v="91440"/>
    <n v="56"/>
    <s v="#FashionDeals,#MyntraFashion"/>
    <x v="2"/>
    <n v="5767"/>
  </r>
  <r>
    <s v="P218"/>
    <s v="Facebook"/>
    <s v="2024-06-11"/>
    <x v="3"/>
    <s v="Explore the latest carousel on Myntra! Trendy styles await."/>
    <n v="1869"/>
    <n v="453"/>
    <n v="490"/>
    <n v="14952"/>
    <n v="14309"/>
    <n v="275"/>
    <s v="#FashionDeals,#StyleWithMyntra"/>
    <x v="0"/>
    <n v="2812"/>
  </r>
  <r>
    <s v="P219"/>
    <s v="Twitter"/>
    <s v="2025-01-28"/>
    <x v="0"/>
    <s v="Explore the latest reel on Myntra! Trendy styles await."/>
    <n v="1188"/>
    <n v="470"/>
    <n v="174"/>
    <n v="7128"/>
    <n v="6145"/>
    <n v="270"/>
    <s v="#StyleWithMyntra,#MyntraFashion"/>
    <x v="1"/>
    <n v="1832"/>
  </r>
  <r>
    <s v="P220"/>
    <s v="Instagram"/>
    <s v="2024-06-02"/>
    <x v="2"/>
    <s v="Explore the latest story on Myntra! Trendy styles await."/>
    <n v="84"/>
    <n v="897"/>
    <n v="85"/>
    <n v="588"/>
    <n v="8"/>
    <n v="12"/>
    <s v="#StyleWithMyntra"/>
    <x v="1"/>
    <n v="1066"/>
  </r>
  <r>
    <s v="P221"/>
    <s v="Facebook"/>
    <s v="2025-03-23"/>
    <x v="5"/>
    <s v="Explore the latest video on Myntra! Trendy styles await."/>
    <n v="4453"/>
    <n v="111"/>
    <n v="420"/>
    <n v="31171"/>
    <n v="30565"/>
    <n v="23"/>
    <s v="#MyntraTrend,#MyntraFashion"/>
    <x v="3"/>
    <n v="4984"/>
  </r>
  <r>
    <s v="P222"/>
    <s v="Facebook"/>
    <s v="2024-10-08"/>
    <x v="0"/>
    <s v="Explore the latest reel on Myntra! Trendy styles await."/>
    <n v="1814"/>
    <n v="653"/>
    <n v="363"/>
    <n v="25396"/>
    <n v="25286"/>
    <n v="39"/>
    <s v="#StyleWithMyntra"/>
    <x v="0"/>
    <n v="2830"/>
  </r>
  <r>
    <s v="P223"/>
    <s v="Twitter"/>
    <s v="2024-11-12"/>
    <x v="4"/>
    <s v="Explore the latest image on Myntra! Trendy styles await."/>
    <n v="3338"/>
    <n v="277"/>
    <n v="118"/>
    <n v="60084"/>
    <n v="59842"/>
    <n v="252"/>
    <s v="#StyleWithMyntra"/>
    <x v="0"/>
    <n v="3733"/>
  </r>
  <r>
    <s v="P224"/>
    <s v="Facebook"/>
    <s v="2025-05-13"/>
    <x v="4"/>
    <s v="Explore the latest image on Myntra! Trendy styles await."/>
    <n v="602"/>
    <n v="594"/>
    <n v="156"/>
    <n v="4214"/>
    <n v="3363"/>
    <n v="164"/>
    <s v="#MyntraSale"/>
    <x v="2"/>
    <n v="1352"/>
  </r>
  <r>
    <s v="P225"/>
    <s v="Twitter"/>
    <s v="2024-06-20"/>
    <x v="3"/>
    <s v="Explore the latest carousel on Myntra! Trendy styles await."/>
    <n v="4672"/>
    <n v="325"/>
    <n v="32"/>
    <n v="88768"/>
    <n v="87833"/>
    <n v="118"/>
    <s v="#FashionDeals,#MyntraSale"/>
    <x v="2"/>
    <n v="5029"/>
  </r>
  <r>
    <s v="P226"/>
    <s v="Instagram"/>
    <s v="2024-08-07"/>
    <x v="3"/>
    <s v="Explore the latest carousel on Myntra! Trendy styles await."/>
    <n v="1741"/>
    <n v="164"/>
    <n v="318"/>
    <n v="8705"/>
    <n v="8272"/>
    <n v="121"/>
    <s v="#MyntraSale"/>
    <x v="1"/>
    <n v="2223"/>
  </r>
  <r>
    <s v="P227"/>
    <s v="Instagram"/>
    <s v="2024-06-12"/>
    <x v="1"/>
    <s v="Explore the latest text on Myntra! Trendy styles await."/>
    <n v="246"/>
    <n v="149"/>
    <n v="130"/>
    <n v="4674"/>
    <n v="4390"/>
    <n v="217"/>
    <s v="#MyntraTrend,#FashionDeals"/>
    <x v="1"/>
    <n v="525"/>
  </r>
  <r>
    <s v="P228"/>
    <s v="Instagram"/>
    <s v="2024-07-01"/>
    <x v="2"/>
    <s v="Explore the latest story on Myntra! Trendy styles await."/>
    <n v="4808"/>
    <n v="772"/>
    <n v="320"/>
    <n v="72120"/>
    <n v="71696"/>
    <n v="195"/>
    <s v="#MyntraTrend,#MyntraSale"/>
    <x v="3"/>
    <n v="5900"/>
  </r>
  <r>
    <s v="P229"/>
    <s v="Instagram"/>
    <s v="2024-07-03"/>
    <x v="3"/>
    <s v="Explore the latest carousel on Myntra! Trendy styles await."/>
    <n v="4799"/>
    <n v="694"/>
    <n v="289"/>
    <n v="43191"/>
    <n v="42228"/>
    <n v="118"/>
    <s v="#MyntraTrend"/>
    <x v="1"/>
    <n v="5782"/>
  </r>
  <r>
    <s v="P230"/>
    <s v="Facebook"/>
    <s v="2024-07-15"/>
    <x v="0"/>
    <s v="Explore the latest reel on Myntra! Trendy styles await."/>
    <n v="3663"/>
    <n v="17"/>
    <n v="295"/>
    <n v="51282"/>
    <n v="50567"/>
    <n v="84"/>
    <s v="#MyntraSale"/>
    <x v="0"/>
    <n v="3975"/>
  </r>
  <r>
    <s v="P231"/>
    <s v="Instagram"/>
    <s v="2025-05-01"/>
    <x v="1"/>
    <s v="Explore the latest text on Myntra! Trendy styles await."/>
    <n v="1430"/>
    <n v="376"/>
    <n v="33"/>
    <n v="21450"/>
    <n v="20509"/>
    <n v="251"/>
    <s v="#FashionDeals"/>
    <x v="2"/>
    <n v="1839"/>
  </r>
  <r>
    <s v="P232"/>
    <s v="Twitter"/>
    <s v="2025-04-29"/>
    <x v="2"/>
    <s v="Explore the latest story on Myntra! Trendy styles await."/>
    <n v="249"/>
    <n v="592"/>
    <n v="230"/>
    <n v="1494"/>
    <n v="1044"/>
    <n v="201"/>
    <s v="#MyntraFashion,#MyntraTrend"/>
    <x v="3"/>
    <n v="1071"/>
  </r>
  <r>
    <s v="P233"/>
    <s v="Facebook"/>
    <s v="2025-03-08"/>
    <x v="4"/>
    <s v="Explore the latest image on Myntra! Trendy styles await."/>
    <n v="2382"/>
    <n v="265"/>
    <n v="134"/>
    <n v="38112"/>
    <n v="37437"/>
    <n v="249"/>
    <s v="#FashionDeals,#MyntraTrend"/>
    <x v="1"/>
    <n v="2781"/>
  </r>
  <r>
    <s v="P234"/>
    <s v="Facebook"/>
    <s v="2024-06-01"/>
    <x v="1"/>
    <s v="Explore the latest text on Myntra! Trendy styles await."/>
    <n v="1272"/>
    <n v="465"/>
    <n v="99"/>
    <n v="24168"/>
    <n v="23719"/>
    <n v="42"/>
    <s v="#MyntraFashion,#FashionDeals"/>
    <x v="1"/>
    <n v="1836"/>
  </r>
  <r>
    <s v="P235"/>
    <s v="Facebook"/>
    <s v="2024-12-22"/>
    <x v="4"/>
    <s v="Explore the latest image on Myntra! Trendy styles await."/>
    <n v="3196"/>
    <n v="941"/>
    <n v="376"/>
    <n v="35156"/>
    <n v="34444"/>
    <n v="241"/>
    <s v="#StyleWithMyntra,#MyntraTrend"/>
    <x v="3"/>
    <n v="4513"/>
  </r>
  <r>
    <s v="P236"/>
    <s v="Facebook"/>
    <s v="2024-08-19"/>
    <x v="1"/>
    <s v="Explore the latest text on Myntra! Trendy styles await."/>
    <n v="1257"/>
    <n v="19"/>
    <n v="351"/>
    <n v="12570"/>
    <n v="11660"/>
    <n v="194"/>
    <s v="#StyleWithMyntra"/>
    <x v="0"/>
    <n v="1627"/>
  </r>
  <r>
    <s v="P237"/>
    <s v="Instagram"/>
    <s v="2024-10-22"/>
    <x v="2"/>
    <s v="Explore the latest story on Myntra! Trendy styles await."/>
    <n v="3770"/>
    <n v="917"/>
    <n v="129"/>
    <n v="71630"/>
    <n v="71322"/>
    <n v="76"/>
    <s v="#MyntraSale,#MyntraTrend"/>
    <x v="3"/>
    <n v="4816"/>
  </r>
  <r>
    <s v="P238"/>
    <s v="Twitter"/>
    <s v="2024-07-16"/>
    <x v="1"/>
    <s v="Explore the latest text on Myntra! Trendy styles await."/>
    <n v="4725"/>
    <n v="400"/>
    <n v="362"/>
    <n v="75600"/>
    <n v="74927"/>
    <n v="43"/>
    <s v="#MyntraTrend,#MyntraFashion"/>
    <x v="0"/>
    <n v="5487"/>
  </r>
  <r>
    <s v="P239"/>
    <s v="YouTube"/>
    <s v="2025-02-24"/>
    <x v="1"/>
    <s v="Explore the latest text on Myntra! Trendy styles await."/>
    <n v="4188"/>
    <n v="942"/>
    <n v="118"/>
    <n v="20940"/>
    <n v="20471"/>
    <n v="102"/>
    <s v="#StyleWithMyntra"/>
    <x v="1"/>
    <n v="5248"/>
  </r>
  <r>
    <s v="P240"/>
    <s v="Twitter"/>
    <s v="2024-08-26"/>
    <x v="3"/>
    <s v="Explore the latest carousel on Myntra! Trendy styles await."/>
    <n v="929"/>
    <n v="192"/>
    <n v="322"/>
    <n v="16722"/>
    <n v="15996"/>
    <n v="145"/>
    <s v="#MyntraFashion"/>
    <x v="2"/>
    <n v="1443"/>
  </r>
  <r>
    <s v="P241"/>
    <s v="Facebook"/>
    <s v="2025-01-18"/>
    <x v="2"/>
    <s v="Explore the latest story on Myntra! Trendy styles await."/>
    <n v="4321"/>
    <n v="874"/>
    <n v="172"/>
    <n v="30247"/>
    <n v="29254"/>
    <n v="122"/>
    <s v="#MyntraSale,#MyntraFashion"/>
    <x v="2"/>
    <n v="5367"/>
  </r>
  <r>
    <s v="P242"/>
    <s v="Facebook"/>
    <s v="2024-07-07"/>
    <x v="0"/>
    <s v="Explore the latest reel on Myntra! Trendy styles await."/>
    <n v="4767"/>
    <n v="190"/>
    <n v="340"/>
    <n v="28602"/>
    <n v="28044"/>
    <n v="210"/>
    <s v="#FashionDeals"/>
    <x v="3"/>
    <n v="5297"/>
  </r>
  <r>
    <s v="P243"/>
    <s v="Twitter"/>
    <s v="2025-03-06"/>
    <x v="4"/>
    <s v="Explore the latest image on Myntra! Trendy styles await."/>
    <n v="3592"/>
    <n v="911"/>
    <n v="375"/>
    <n v="50288"/>
    <n v="49490"/>
    <n v="32"/>
    <s v="#StyleWithMyntra"/>
    <x v="1"/>
    <n v="4878"/>
  </r>
  <r>
    <s v="P244"/>
    <s v="YouTube"/>
    <s v="2024-10-25"/>
    <x v="5"/>
    <s v="Explore the latest video on Myntra! Trendy styles await."/>
    <n v="4661"/>
    <n v="935"/>
    <n v="433"/>
    <n v="23305"/>
    <n v="22583"/>
    <n v="63"/>
    <s v="#StyleWithMyntra,#FashionDeals"/>
    <x v="0"/>
    <n v="6029"/>
  </r>
  <r>
    <s v="P245"/>
    <s v="Facebook"/>
    <s v="2025-01-12"/>
    <x v="0"/>
    <s v="Explore the latest reel on Myntra! Trendy styles await."/>
    <n v="4134"/>
    <n v="824"/>
    <n v="99"/>
    <n v="41340"/>
    <n v="41050"/>
    <n v="177"/>
    <s v="#MyntraFashion"/>
    <x v="1"/>
    <n v="5057"/>
  </r>
  <r>
    <s v="P246"/>
    <s v="Facebook"/>
    <s v="2024-10-11"/>
    <x v="4"/>
    <s v="Explore the latest image on Myntra! Trendy styles await."/>
    <n v="400"/>
    <n v="680"/>
    <n v="434"/>
    <n v="6400"/>
    <n v="5472"/>
    <n v="160"/>
    <s v="#MyntraSale,#MyntraTrend"/>
    <x v="1"/>
    <n v="1514"/>
  </r>
  <r>
    <s v="P247"/>
    <s v="Facebook"/>
    <s v="2024-08-27"/>
    <x v="0"/>
    <s v="Explore the latest reel on Myntra! Trendy styles await."/>
    <n v="3960"/>
    <n v="266"/>
    <n v="8"/>
    <n v="35640"/>
    <n v="34850"/>
    <n v="208"/>
    <s v="#MyntraTrend,#MyntraFashion"/>
    <x v="3"/>
    <n v="4234"/>
  </r>
  <r>
    <s v="P248"/>
    <s v="Facebook"/>
    <s v="2025-02-02"/>
    <x v="2"/>
    <s v="Explore the latest story on Myntra! Trendy styles await."/>
    <n v="886"/>
    <n v="126"/>
    <n v="153"/>
    <n v="4430"/>
    <n v="4037"/>
    <n v="212"/>
    <s v="#MyntraSale"/>
    <x v="2"/>
    <n v="1165"/>
  </r>
  <r>
    <s v="P249"/>
    <s v="Twitter"/>
    <s v="2024-07-18"/>
    <x v="4"/>
    <s v="Explore the latest image on Myntra! Trendy styles await."/>
    <n v="827"/>
    <n v="77"/>
    <n v="402"/>
    <n v="14886"/>
    <n v="14129"/>
    <n v="254"/>
    <s v="#StyleWithMyntra"/>
    <x v="1"/>
    <n v="1306"/>
  </r>
  <r>
    <s v="P250"/>
    <s v="Facebook"/>
    <s v="2024-06-22"/>
    <x v="0"/>
    <s v="Explore the latest reel on Myntra! Trendy styles await."/>
    <n v="3813"/>
    <n v="935"/>
    <n v="274"/>
    <n v="68634"/>
    <n v="68488"/>
    <n v="251"/>
    <s v="#FashionDeals,#MyntraTrend"/>
    <x v="0"/>
    <n v="5022"/>
  </r>
  <r>
    <s v="P251"/>
    <s v="Instagram"/>
    <s v="2025-03-27"/>
    <x v="3"/>
    <s v="Explore the latest carousel on Myntra! Trendy styles await."/>
    <n v="1377"/>
    <n v="796"/>
    <n v="387"/>
    <n v="22032"/>
    <n v="21869"/>
    <n v="189"/>
    <s v="#FashionDeals,#MyntraFashion"/>
    <x v="2"/>
    <n v="2560"/>
  </r>
  <r>
    <s v="P252"/>
    <s v="Facebook"/>
    <s v="2025-04-28"/>
    <x v="3"/>
    <s v="Explore the latest carousel on Myntra! Trendy styles await."/>
    <n v="2089"/>
    <n v="476"/>
    <n v="69"/>
    <n v="16712"/>
    <n v="16309"/>
    <n v="64"/>
    <s v="#StyleWithMyntra,#MyntraSale"/>
    <x v="0"/>
    <n v="2634"/>
  </r>
  <r>
    <s v="P253"/>
    <s v="Twitter"/>
    <s v="2024-08-03"/>
    <x v="0"/>
    <s v="Explore the latest reel on Myntra! Trendy styles await."/>
    <n v="3791"/>
    <n v="593"/>
    <n v="228"/>
    <n v="53074"/>
    <n v="52613"/>
    <n v="205"/>
    <s v="#StyleWithMyntra,#FashionDeals"/>
    <x v="0"/>
    <n v="4612"/>
  </r>
  <r>
    <s v="P254"/>
    <s v="Twitter"/>
    <s v="2025-01-14"/>
    <x v="4"/>
    <s v="Explore the latest image on Myntra! Trendy styles await."/>
    <n v="2692"/>
    <n v="115"/>
    <n v="64"/>
    <n v="21536"/>
    <n v="21120"/>
    <n v="224"/>
    <s v="#FashionDeals,#MyntraTrend"/>
    <x v="3"/>
    <n v="2871"/>
  </r>
  <r>
    <s v="P255"/>
    <s v="Facebook"/>
    <s v="2025-04-03"/>
    <x v="2"/>
    <s v="Explore the latest story on Myntra! Trendy styles await."/>
    <n v="3767"/>
    <n v="514"/>
    <n v="238"/>
    <n v="37670"/>
    <n v="36807"/>
    <n v="226"/>
    <s v="#StyleWithMyntra,#FashionDeals"/>
    <x v="0"/>
    <n v="4519"/>
  </r>
  <r>
    <s v="P256"/>
    <s v="YouTube"/>
    <s v="2024-09-18"/>
    <x v="3"/>
    <s v="Explore the latest carousel on Myntra! Trendy styles await."/>
    <n v="2143"/>
    <n v="12"/>
    <n v="204"/>
    <n v="40717"/>
    <n v="40125"/>
    <n v="248"/>
    <s v="#FashionDeals,#MyntraSale"/>
    <x v="3"/>
    <n v="2359"/>
  </r>
  <r>
    <s v="P257"/>
    <s v="Facebook"/>
    <s v="2025-04-06"/>
    <x v="4"/>
    <s v="Explore the latest image on Myntra! Trendy styles await."/>
    <n v="3090"/>
    <n v="697"/>
    <n v="164"/>
    <n v="49440"/>
    <n v="48524"/>
    <n v="25"/>
    <s v="#FashionDeals,#StyleWithMyntra"/>
    <x v="3"/>
    <n v="3951"/>
  </r>
  <r>
    <s v="P258"/>
    <s v="Instagram"/>
    <s v="2024-08-05"/>
    <x v="2"/>
    <s v="Explore the latest story on Myntra! Trendy styles await."/>
    <n v="3601"/>
    <n v="695"/>
    <n v="75"/>
    <n v="21606"/>
    <n v="21454"/>
    <n v="172"/>
    <s v="#StyleWithMyntra"/>
    <x v="1"/>
    <n v="4371"/>
  </r>
  <r>
    <s v="P259"/>
    <s v="Facebook"/>
    <s v="2025-02-10"/>
    <x v="1"/>
    <s v="Explore the latest text on Myntra! Trendy styles await."/>
    <n v="562"/>
    <n v="158"/>
    <n v="149"/>
    <n v="3372"/>
    <n v="2940"/>
    <n v="93"/>
    <s v="#FashionDeals,#MyntraSale"/>
    <x v="3"/>
    <n v="869"/>
  </r>
  <r>
    <s v="P260"/>
    <s v="Instagram"/>
    <s v="2025-02-12"/>
    <x v="2"/>
    <s v="Explore the latest story on Myntra! Trendy styles await."/>
    <n v="4332"/>
    <n v="771"/>
    <n v="219"/>
    <n v="60648"/>
    <n v="60397"/>
    <n v="10"/>
    <s v="#MyntraFashion"/>
    <x v="2"/>
    <n v="5322"/>
  </r>
  <r>
    <s v="P261"/>
    <s v="Instagram"/>
    <s v="2024-10-27"/>
    <x v="4"/>
    <s v="Explore the latest image on Myntra! Trendy styles await."/>
    <n v="4853"/>
    <n v="837"/>
    <n v="340"/>
    <n v="72795"/>
    <n v="72237"/>
    <n v="170"/>
    <s v="#MyntraSale"/>
    <x v="1"/>
    <n v="6030"/>
  </r>
  <r>
    <s v="P262"/>
    <s v="YouTube"/>
    <s v="2025-01-18"/>
    <x v="4"/>
    <s v="Explore the latest image on Myntra! Trendy styles await."/>
    <n v="1206"/>
    <n v="238"/>
    <n v="36"/>
    <n v="9648"/>
    <n v="9417"/>
    <n v="237"/>
    <s v="#MyntraSale,#StyleWithMyntra"/>
    <x v="2"/>
    <n v="1480"/>
  </r>
  <r>
    <s v="P263"/>
    <s v="Instagram"/>
    <s v="2024-08-20"/>
    <x v="0"/>
    <s v="Explore the latest reel on Myntra! Trendy styles await."/>
    <n v="2603"/>
    <n v="690"/>
    <n v="205"/>
    <n v="13015"/>
    <n v="12130"/>
    <n v="20"/>
    <s v="#MyntraTrend"/>
    <x v="0"/>
    <n v="3498"/>
  </r>
  <r>
    <s v="P264"/>
    <s v="Twitter"/>
    <s v="2025-01-30"/>
    <x v="4"/>
    <s v="Explore the latest image on Myntra! Trendy styles await."/>
    <n v="59"/>
    <n v="163"/>
    <n v="93"/>
    <n v="590"/>
    <n v="475"/>
    <n v="293"/>
    <s v="#MyntraTrend"/>
    <x v="3"/>
    <n v="315"/>
  </r>
  <r>
    <s v="P265"/>
    <s v="Twitter"/>
    <s v="2025-02-20"/>
    <x v="3"/>
    <s v="Explore the latest carousel on Myntra! Trendy styles await."/>
    <n v="1877"/>
    <n v="745"/>
    <n v="225"/>
    <n v="11262"/>
    <n v="10967"/>
    <n v="41"/>
    <s v="#StyleWithMyntra,#MyntraSale"/>
    <x v="0"/>
    <n v="2847"/>
  </r>
  <r>
    <s v="P266"/>
    <s v="Facebook"/>
    <s v="2024-11-25"/>
    <x v="2"/>
    <s v="Explore the latest story on Myntra! Trendy styles await."/>
    <n v="4182"/>
    <n v="640"/>
    <n v="240"/>
    <n v="50184"/>
    <n v="49351"/>
    <n v="10"/>
    <s v="#MyntraSale,#StyleWithMyntra"/>
    <x v="2"/>
    <n v="5062"/>
  </r>
  <r>
    <s v="P267"/>
    <s v="Twitter"/>
    <s v="2024-10-04"/>
    <x v="0"/>
    <s v="Explore the latest reel on Myntra! Trendy styles await."/>
    <n v="4187"/>
    <n v="66"/>
    <n v="31"/>
    <n v="66992"/>
    <n v="66614"/>
    <n v="62"/>
    <s v="#StyleWithMyntra"/>
    <x v="3"/>
    <n v="4284"/>
  </r>
  <r>
    <s v="P268"/>
    <s v="Instagram"/>
    <s v="2025-04-13"/>
    <x v="0"/>
    <s v="Explore the latest reel on Myntra! Trendy styles await."/>
    <n v="4579"/>
    <n v="125"/>
    <n v="300"/>
    <n v="59527"/>
    <n v="59400"/>
    <n v="269"/>
    <s v="#StyleWithMyntra,#MyntraFashion"/>
    <x v="0"/>
    <n v="5004"/>
  </r>
  <r>
    <s v="P269"/>
    <s v="Instagram"/>
    <s v="2024-11-05"/>
    <x v="5"/>
    <s v="Explore the latest video on Myntra! Trendy styles await."/>
    <n v="4561"/>
    <n v="51"/>
    <n v="441"/>
    <n v="22805"/>
    <n v="21890"/>
    <n v="45"/>
    <s v="#StyleWithMyntra"/>
    <x v="1"/>
    <n v="5053"/>
  </r>
  <r>
    <s v="P270"/>
    <s v="YouTube"/>
    <s v="2025-01-15"/>
    <x v="0"/>
    <s v="Explore the latest reel on Myntra! Trendy styles await."/>
    <n v="3774"/>
    <n v="239"/>
    <n v="39"/>
    <n v="60384"/>
    <n v="59490"/>
    <n v="241"/>
    <s v="#FashionDeals"/>
    <x v="2"/>
    <n v="4052"/>
  </r>
  <r>
    <s v="P271"/>
    <s v="Instagram"/>
    <s v="2024-10-17"/>
    <x v="5"/>
    <s v="Explore the latest video on Myntra! Trendy styles await."/>
    <n v="3575"/>
    <n v="749"/>
    <n v="111"/>
    <n v="21450"/>
    <n v="20785"/>
    <n v="195"/>
    <s v="#FashionDeals"/>
    <x v="2"/>
    <n v="4435"/>
  </r>
  <r>
    <s v="P272"/>
    <s v="Instagram"/>
    <s v="2025-03-27"/>
    <x v="1"/>
    <s v="Explore the latest text on Myntra! Trendy styles await."/>
    <n v="4941"/>
    <n v="414"/>
    <n v="266"/>
    <n v="39528"/>
    <n v="39154"/>
    <n v="217"/>
    <s v="#MyntraSale"/>
    <x v="1"/>
    <n v="5621"/>
  </r>
  <r>
    <s v="P273"/>
    <s v="YouTube"/>
    <s v="2024-10-12"/>
    <x v="2"/>
    <s v="Explore the latest story on Myntra! Trendy styles await."/>
    <n v="3641"/>
    <n v="226"/>
    <n v="46"/>
    <n v="40051"/>
    <n v="39319"/>
    <n v="296"/>
    <s v="#MyntraTrend"/>
    <x v="1"/>
    <n v="3913"/>
  </r>
  <r>
    <s v="P274"/>
    <s v="Twitter"/>
    <s v="2025-01-01"/>
    <x v="3"/>
    <s v="Explore the latest carousel on Myntra! Trendy styles await."/>
    <n v="3535"/>
    <n v="494"/>
    <n v="152"/>
    <n v="53025"/>
    <n v="52791"/>
    <n v="44"/>
    <s v="#MyntraTrend,#StyleWithMyntra"/>
    <x v="1"/>
    <n v="4181"/>
  </r>
  <r>
    <s v="P275"/>
    <s v="Facebook"/>
    <s v="2024-08-05"/>
    <x v="0"/>
    <s v="Explore the latest reel on Myntra! Trendy styles await."/>
    <n v="1741"/>
    <n v="831"/>
    <n v="345"/>
    <n v="17410"/>
    <n v="16844"/>
    <n v="58"/>
    <s v="#MyntraFashion,#FashionDeals"/>
    <x v="3"/>
    <n v="2917"/>
  </r>
  <r>
    <s v="P276"/>
    <s v="Twitter"/>
    <s v="2024-06-07"/>
    <x v="3"/>
    <s v="Explore the latest carousel on Myntra! Trendy styles await."/>
    <n v="1556"/>
    <n v="195"/>
    <n v="131"/>
    <n v="9336"/>
    <n v="8875"/>
    <n v="137"/>
    <s v="#MyntraFashion"/>
    <x v="1"/>
    <n v="1882"/>
  </r>
  <r>
    <s v="P277"/>
    <s v="Facebook"/>
    <s v="2025-04-06"/>
    <x v="4"/>
    <s v="Explore the latest image on Myntra! Trendy styles await."/>
    <n v="4236"/>
    <n v="711"/>
    <n v="298"/>
    <n v="21180"/>
    <n v="20516"/>
    <n v="238"/>
    <s v="#MyntraTrend,#MyntraSale"/>
    <x v="3"/>
    <n v="5245"/>
  </r>
  <r>
    <s v="P278"/>
    <s v="Twitter"/>
    <s v="2024-11-26"/>
    <x v="1"/>
    <s v="Explore the latest text on Myntra! Trendy styles await."/>
    <n v="4516"/>
    <n v="836"/>
    <n v="169"/>
    <n v="49676"/>
    <n v="49257"/>
    <n v="282"/>
    <s v="#MyntraTrend"/>
    <x v="0"/>
    <n v="5521"/>
  </r>
  <r>
    <s v="P279"/>
    <s v="YouTube"/>
    <s v="2024-09-02"/>
    <x v="4"/>
    <s v="Explore the latest image on Myntra! Trendy styles await."/>
    <n v="4905"/>
    <n v="845"/>
    <n v="129"/>
    <n v="98100"/>
    <n v="97772"/>
    <n v="279"/>
    <s v="#MyntraTrend"/>
    <x v="3"/>
    <n v="5879"/>
  </r>
  <r>
    <s v="P280"/>
    <s v="YouTube"/>
    <s v="2024-10-21"/>
    <x v="5"/>
    <s v="Explore the latest video on Myntra! Trendy styles await."/>
    <n v="4275"/>
    <n v="680"/>
    <n v="385"/>
    <n v="64125"/>
    <n v="63650"/>
    <n v="104"/>
    <s v="#StyleWithMyntra"/>
    <x v="3"/>
    <n v="5340"/>
  </r>
  <r>
    <s v="P281"/>
    <s v="YouTube"/>
    <s v="2025-03-22"/>
    <x v="4"/>
    <s v="Explore the latest image on Myntra! Trendy styles await."/>
    <n v="3166"/>
    <n v="90"/>
    <n v="341"/>
    <n v="56988"/>
    <n v="56125"/>
    <n v="135"/>
    <s v="#MyntraFashion,#StyleWithMyntra"/>
    <x v="1"/>
    <n v="3597"/>
  </r>
  <r>
    <s v="P282"/>
    <s v="Instagram"/>
    <s v="2024-10-03"/>
    <x v="5"/>
    <s v="Explore the latest video on Myntra! Trendy styles await."/>
    <n v="1488"/>
    <n v="417"/>
    <n v="168"/>
    <n v="19344"/>
    <n v="18395"/>
    <n v="30"/>
    <s v="#MyntraSale"/>
    <x v="0"/>
    <n v="2073"/>
  </r>
  <r>
    <s v="P283"/>
    <s v="Twitter"/>
    <s v="2025-05-09"/>
    <x v="0"/>
    <s v="Explore the latest reel on Myntra! Trendy styles await."/>
    <n v="3367"/>
    <n v="302"/>
    <n v="57"/>
    <n v="63973"/>
    <n v="63789"/>
    <n v="157"/>
    <s v="#MyntraTrend,#MyntraFashion"/>
    <x v="2"/>
    <n v="3726"/>
  </r>
  <r>
    <s v="P284"/>
    <s v="Twitter"/>
    <s v="2024-09-17"/>
    <x v="1"/>
    <s v="Explore the latest text on Myntra! Trendy styles await."/>
    <n v="571"/>
    <n v="190"/>
    <n v="352"/>
    <n v="9707"/>
    <n v="9418"/>
    <n v="231"/>
    <s v="#FashionDeals"/>
    <x v="1"/>
    <n v="1113"/>
  </r>
  <r>
    <s v="P285"/>
    <s v="YouTube"/>
    <s v="2024-07-18"/>
    <x v="1"/>
    <s v="Explore the latest text on Myntra! Trendy styles await."/>
    <n v="4021"/>
    <n v="794"/>
    <n v="77"/>
    <n v="36189"/>
    <n v="35505"/>
    <n v="174"/>
    <s v="#FashionDeals,#StyleWithMyntra"/>
    <x v="0"/>
    <n v="4892"/>
  </r>
  <r>
    <s v="P286"/>
    <s v="YouTube"/>
    <s v="2024-09-25"/>
    <x v="5"/>
    <s v="Explore the latest video on Myntra! Trendy styles await."/>
    <n v="3389"/>
    <n v="344"/>
    <n v="229"/>
    <n v="20334"/>
    <n v="19443"/>
    <n v="228"/>
    <s v="#MyntraFashion,#MyntraSale"/>
    <x v="1"/>
    <n v="3962"/>
  </r>
  <r>
    <s v="P287"/>
    <s v="Instagram"/>
    <s v="2024-08-15"/>
    <x v="0"/>
    <s v="Explore the latest reel on Myntra! Trendy styles await."/>
    <n v="1164"/>
    <n v="616"/>
    <n v="324"/>
    <n v="6984"/>
    <n v="6636"/>
    <n v="82"/>
    <s v="#MyntraFashion,#MyntraTrend"/>
    <x v="2"/>
    <n v="2104"/>
  </r>
  <r>
    <s v="P288"/>
    <s v="YouTube"/>
    <s v="2025-04-17"/>
    <x v="3"/>
    <s v="Explore the latest carousel on Myntra! Trendy styles await."/>
    <n v="4780"/>
    <n v="691"/>
    <n v="380"/>
    <n v="86040"/>
    <n v="85743"/>
    <n v="262"/>
    <s v="#MyntraFashion,#FashionDeals"/>
    <x v="2"/>
    <n v="5851"/>
  </r>
  <r>
    <s v="P289"/>
    <s v="Facebook"/>
    <s v="2024-11-28"/>
    <x v="3"/>
    <s v="Explore the latest carousel on Myntra! Trendy styles await."/>
    <n v="2751"/>
    <n v="33"/>
    <n v="430"/>
    <n v="44016"/>
    <n v="43415"/>
    <n v="129"/>
    <s v="#MyntraTrend,#StyleWithMyntra"/>
    <x v="1"/>
    <n v="3214"/>
  </r>
  <r>
    <s v="P290"/>
    <s v="Instagram"/>
    <s v="2024-12-20"/>
    <x v="3"/>
    <s v="Explore the latest carousel on Myntra! Trendy styles await."/>
    <n v="2107"/>
    <n v="550"/>
    <n v="349"/>
    <n v="35819"/>
    <n v="35340"/>
    <n v="191"/>
    <s v="#MyntraTrend"/>
    <x v="2"/>
    <n v="3006"/>
  </r>
  <r>
    <s v="P291"/>
    <s v="Facebook"/>
    <s v="2024-11-06"/>
    <x v="5"/>
    <s v="Explore the latest video on Myntra! Trendy styles await."/>
    <n v="4663"/>
    <n v="145"/>
    <n v="225"/>
    <n v="69945"/>
    <n v="69596"/>
    <n v="35"/>
    <s v="#MyntraFashion"/>
    <x v="1"/>
    <n v="5033"/>
  </r>
  <r>
    <s v="P292"/>
    <s v="Facebook"/>
    <s v="2024-11-17"/>
    <x v="1"/>
    <s v="Explore the latest text on Myntra! Trendy styles await."/>
    <n v="880"/>
    <n v="297"/>
    <n v="345"/>
    <n v="12320"/>
    <n v="11978"/>
    <n v="238"/>
    <s v="#MyntraSale"/>
    <x v="1"/>
    <n v="1522"/>
  </r>
  <r>
    <s v="P293"/>
    <s v="Facebook"/>
    <s v="2025-05-14"/>
    <x v="1"/>
    <s v="Explore the latest text on Myntra! Trendy styles await."/>
    <n v="2634"/>
    <n v="726"/>
    <n v="241"/>
    <n v="28974"/>
    <n v="28102"/>
    <n v="277"/>
    <s v="#StyleWithMyntra"/>
    <x v="2"/>
    <n v="3601"/>
  </r>
  <r>
    <s v="P294"/>
    <s v="Facebook"/>
    <s v="2024-06-19"/>
    <x v="3"/>
    <s v="Explore the latest carousel on Myntra! Trendy styles await."/>
    <n v="4731"/>
    <n v="173"/>
    <n v="276"/>
    <n v="28386"/>
    <n v="28185"/>
    <n v="89"/>
    <s v="#MyntraTrend,#MyntraFashion"/>
    <x v="3"/>
    <n v="5180"/>
  </r>
  <r>
    <s v="P295"/>
    <s v="Twitter"/>
    <s v="2025-05-06"/>
    <x v="4"/>
    <s v="Explore the latest image on Myntra! Trendy styles await."/>
    <n v="1952"/>
    <n v="344"/>
    <n v="287"/>
    <n v="15616"/>
    <n v="15403"/>
    <n v="235"/>
    <s v="#MyntraSale,#MyntraFashion"/>
    <x v="2"/>
    <n v="2583"/>
  </r>
  <r>
    <s v="P296"/>
    <s v="Twitter"/>
    <s v="2025-02-11"/>
    <x v="5"/>
    <s v="Explore the latest video on Myntra! Trendy styles await."/>
    <n v="3440"/>
    <n v="13"/>
    <n v="20"/>
    <n v="58480"/>
    <n v="58146"/>
    <n v="210"/>
    <s v="#MyntraFashion,#FashionDeals"/>
    <x v="0"/>
    <n v="3473"/>
  </r>
  <r>
    <s v="P297"/>
    <s v="Twitter"/>
    <s v="2024-12-24"/>
    <x v="1"/>
    <s v="Explore the latest text on Myntra! Trendy styles await."/>
    <n v="2166"/>
    <n v="354"/>
    <n v="117"/>
    <n v="10830"/>
    <n v="10245"/>
    <n v="24"/>
    <s v="#StyleWithMyntra,#MyntraTrend"/>
    <x v="0"/>
    <n v="2637"/>
  </r>
  <r>
    <s v="P298"/>
    <s v="Facebook"/>
    <s v="2024-10-24"/>
    <x v="4"/>
    <s v="Explore the latest image on Myntra! Trendy styles await."/>
    <n v="4303"/>
    <n v="451"/>
    <n v="286"/>
    <n v="86060"/>
    <n v="85823"/>
    <n v="14"/>
    <s v="#MyntraSale"/>
    <x v="1"/>
    <n v="5040"/>
  </r>
  <r>
    <s v="P299"/>
    <s v="Facebook"/>
    <s v="2024-08-26"/>
    <x v="4"/>
    <s v="Explore the latest image on Myntra! Trendy styles await."/>
    <n v="2581"/>
    <n v="517"/>
    <n v="117"/>
    <n v="23229"/>
    <n v="22331"/>
    <n v="70"/>
    <s v="#MyntraSale,#StyleWithMyntra"/>
    <x v="1"/>
    <n v="3215"/>
  </r>
  <r>
    <s v="P300"/>
    <s v="Twitter"/>
    <s v="2024-08-31"/>
    <x v="3"/>
    <s v="Explore the latest carousel on Myntra! Trendy styles await."/>
    <n v="4494"/>
    <n v="717"/>
    <n v="45"/>
    <n v="62916"/>
    <n v="62688"/>
    <n v="191"/>
    <s v="#MyntraFashion"/>
    <x v="0"/>
    <n v="52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F6413-723E-4B7F-BB80-04267FFE6A86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ent Type">
  <location ref="A3:B10" firstHeaderRow="1" firstDataRow="1" firstDataCol="1"/>
  <pivotFields count="14">
    <pivotField showAll="0"/>
    <pivotField showAll="0"/>
    <pivotField showAll="0"/>
    <pivotField axis="axisRow" showAll="0" sortType="descending">
      <items count="7">
        <item x="3"/>
        <item x="4"/>
        <item x="0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7">
    <i>
      <x v="3"/>
    </i>
    <i>
      <x v="1"/>
    </i>
    <i>
      <x v="4"/>
    </i>
    <i>
      <x v="2"/>
    </i>
    <i>
      <x/>
    </i>
    <i>
      <x v="5"/>
    </i>
    <i t="grand">
      <x/>
    </i>
  </rowItems>
  <colItems count="1">
    <i/>
  </colItems>
  <dataFields count="1">
    <dataField name="Average of Engagement Rate" fld="13" subtotal="average" baseField="3" baseItem="0" numFmtId="1"/>
  </dataFields>
  <formats count="1">
    <format dxfId="60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7C69A-165D-4823-A602-48C513029FD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I46:K63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A3B32-83AF-46AA-8309-B33E80ED3DF3}" name="PivotTable2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tags">
  <location ref="A1:B7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icks" fld="10" subtotal="average" baseField="13" baseItem="0" numFmtId="165"/>
  </dataFields>
  <formats count="4">
    <format dxfId="59">
      <pivotArea outline="0" collapsedLevelsAreSubtotals="1" fieldPosition="0"/>
    </format>
    <format dxfId="58">
      <pivotArea field="13" type="button" dataOnly="0" labelOnly="1" outline="0" axis="axisRow" fieldPosition="0"/>
    </format>
    <format dxfId="57">
      <pivotArea dataOnly="0" labelOnly="1" outline="0" axis="axisValues" fieldPosition="0"/>
    </format>
    <format dxfId="56">
      <pivotArea dataOnly="0" grandRow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CF472-F426-41DA-AE37-525BF641278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2" firstHeaderRow="1" firstDataRow="3" firstDataCol="1"/>
  <pivotFields count="15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9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17273-7630-4949-A7E7-356BB4FC59A0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Hastags">
  <location ref="A3:B8" firstHeaderRow="1" firstDataRow="1" firstDataCol="1"/>
  <pivotFields count="15">
    <pivotField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x="4"/>
        <item t="default"/>
      </items>
    </pivotField>
    <pivotField showAll="0"/>
    <pivotField dataField="1" numFmtId="9" showAll="0"/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Engagement Rate" fld="14" baseField="12" baseItem="3" numFmtId="165"/>
  </dataFields>
  <formats count="10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2" type="button" dataOnly="0" labelOnly="1" outline="0" axis="axisRow" fieldPosition="0"/>
    </format>
    <format dxfId="52">
      <pivotArea dataOnly="0" labelOnly="1" fieldPosition="0">
        <references count="1">
          <reference field="12" count="0"/>
        </references>
      </pivotArea>
    </format>
    <format dxfId="51">
      <pivotArea dataOnly="0" labelOnly="1" outline="0" axis="axisValues" fieldPosition="0"/>
    </format>
    <format dxfId="50">
      <pivotArea field="12" type="button" dataOnly="0" labelOnly="1" outline="0" axis="axisRow" fieldPosition="0"/>
    </format>
    <format dxfId="49">
      <pivotArea dataOnly="0" labelOnly="1" outline="0" axis="axisValues" fieldPosition="0"/>
    </format>
    <format dxfId="48">
      <pivotArea outline="0" collapsedLevelsAreSubtotals="1" fieldPosition="0"/>
    </format>
    <format dxfId="47">
      <pivotArea dataOnly="0" labelOnly="1" fieldPosition="0">
        <references count="1">
          <reference field="12" count="0"/>
        </references>
      </pivotArea>
    </format>
    <format dxfId="46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BE44E-D1CE-4BD8-8F58-D799F4979C10}" name="PivotTable2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Platforms">
  <location ref="A1:B6" firstHeaderRow="1" firstDataRow="1" firstDataCol="1"/>
  <pivotFields count="15"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Engagement Rate" fld="14" baseField="0" baseItem="0" numFmtId="165"/>
  </dataFields>
  <formats count="6">
    <format dxfId="45">
      <pivotArea field="1" type="button" dataOnly="0" labelOnly="1" outline="0" axis="axisRow" fieldPosition="0"/>
    </format>
    <format dxfId="44">
      <pivotArea dataOnly="0" labelOnly="1" outline="0" axis="axisValues" fieldPosition="0"/>
    </format>
    <format dxfId="43">
      <pivotArea dataOnly="0" fieldPosition="0">
        <references count="1">
          <reference field="1" count="0"/>
        </references>
      </pivotArea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outline="0" collapsedLevelsAreSubtotals="1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341DE-A048-4AB9-990A-1C366AA16793}" name="PivotTable3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1:B6" firstHeaderRow="1" firstDataRow="1" firstDataCol="1"/>
  <pivotFields count="11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_Followers" fld="8" baseField="0" baseItem="0"/>
  </dataFields>
  <formats count="4">
    <format dxfId="39">
      <pivotArea field="1" type="button" dataOnly="0" labelOnly="1" outline="0" axis="axisRow" fieldPosition="0"/>
    </format>
    <format dxfId="38">
      <pivotArea dataOnly="0" labelOnly="1" outline="0" axis="axisValues" fieldPosition="0"/>
    </format>
    <format dxfId="37">
      <pivotArea dataOnly="0" grandRow="1" axis="axisRow" fieldPosition="0"/>
    </format>
    <format dxfId="36">
      <pivotArea dataOnly="0" fieldPosition="0">
        <references count="1">
          <reference field="1" count="0"/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8FFCC-5CE2-4853-85D3-A52674FCB7F6}" name="PivotTable4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A1:B7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1"/>
        <item x="0"/>
        <item x="3"/>
        <item x="2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Hashtags Used" fld="13" subtotal="count" baseField="0" baseItem="0"/>
  </dataFields>
  <formats count="4">
    <format dxfId="35">
      <pivotArea field="13" type="button" dataOnly="0" labelOnly="1" outline="0" axis="axisRow" fieldPosition="0"/>
    </format>
    <format dxfId="34">
      <pivotArea dataOnly="0" labelOnly="1" outline="0" axis="axisValues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A7CE4-9208-4A42-B791-7D3B041B744E}" name="PivotTable4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A1:C7" firstHeaderRow="0" firstDataRow="1" firstDataCol="1"/>
  <pivotFields count="14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1"/>
        <item x="0"/>
        <item x="3"/>
        <item x="2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 Rate" fld="12" subtotal="average" baseField="13" baseItem="0" numFmtId="165"/>
    <dataField name="Count of Post " fld="0" subtotal="count" baseField="13" baseItem="0"/>
  </dataFields>
  <formats count="7">
    <format dxfId="31">
      <pivotArea outline="0" collapsedLevelsAreSubtotals="1" fieldPosition="0"/>
    </format>
    <format dxfId="30">
      <pivotArea field="13" type="button" dataOnly="0" labelOnly="1" outline="0" axis="axisRow" fieldPosition="0"/>
    </format>
    <format dxfId="29">
      <pivotArea dataOnly="0" labelOnly="1" outline="0" axis="axisValues" fieldPosition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collapsedLevelsAreSubtotals="1" fieldPosition="0">
        <references count="1">
          <reference field="13" count="1">
            <x v="2"/>
          </reference>
        </references>
      </pivotArea>
    </format>
    <format dxfId="25">
      <pivotArea dataOnly="0" labelOnly="1" fieldPosition="0">
        <references count="1">
          <reference field="13" count="1">
            <x v="2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DC16D-B68C-4C5E-BC6D-3961B3D48116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ngagement Rate" fld="13" baseField="0" baseItem="0"/>
  </dataFields>
  <formats count="1">
    <format dxfId="21">
      <pivotArea dataOnly="0" fieldPosition="0">
        <references count="1">
          <reference field="12" count="1">
            <x v="0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03B1D-F232-4FB6-8B0B-AB8E330EDCEC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Campaign">
  <location ref="A3:G8" firstHeaderRow="0" firstDataRow="1" firstDataCol="1"/>
  <pivotFields count="15"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numFmtId="9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8" baseField="0" baseItem="0"/>
    <dataField name="Average of Impressions2" fld="8" subtotal="average" baseField="11" baseItem="0" numFmtId="165"/>
    <dataField name="Sum of Clicks" fld="10" baseField="0" baseItem="0"/>
    <dataField name="Average of Clicks2" fld="10" subtotal="average" baseField="11" baseItem="0" numFmtId="165"/>
    <dataField name="Sum of Likes" fld="5" baseField="0" baseItem="0"/>
    <dataField name="Average of Likes2" fld="5" subtotal="average" baseField="11" baseItem="0" numFmtId="165"/>
  </dataFields>
  <formats count="3"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40A1E-84C4-446B-ACF6-5C5E2D386BF9}" name="PivotTable8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weeks">
  <location ref="A1:B51" firstHeaderRow="1" firstDataRow="1" firstDataCol="1"/>
  <pivotFields count="11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201">
        <item x="191"/>
        <item x="166"/>
        <item x="162"/>
        <item x="131"/>
        <item x="167"/>
        <item x="110"/>
        <item x="81"/>
        <item x="32"/>
        <item x="119"/>
        <item x="13"/>
        <item x="178"/>
        <item x="12"/>
        <item x="109"/>
        <item x="1"/>
        <item x="4"/>
        <item x="60"/>
        <item x="96"/>
        <item x="92"/>
        <item x="88"/>
        <item x="20"/>
        <item x="35"/>
        <item x="103"/>
        <item x="184"/>
        <item x="67"/>
        <item x="59"/>
        <item x="70"/>
        <item x="180"/>
        <item x="181"/>
        <item x="176"/>
        <item x="118"/>
        <item x="199"/>
        <item x="94"/>
        <item x="47"/>
        <item x="102"/>
        <item x="117"/>
        <item x="71"/>
        <item x="127"/>
        <item x="125"/>
        <item x="163"/>
        <item x="177"/>
        <item x="52"/>
        <item x="43"/>
        <item x="149"/>
        <item x="151"/>
        <item x="19"/>
        <item x="75"/>
        <item x="63"/>
        <item x="95"/>
        <item x="10"/>
        <item x="134"/>
        <item x="37"/>
        <item x="152"/>
        <item x="146"/>
        <item x="141"/>
        <item x="123"/>
        <item x="120"/>
        <item x="182"/>
        <item x="150"/>
        <item x="2"/>
        <item x="195"/>
        <item x="24"/>
        <item x="27"/>
        <item x="77"/>
        <item x="9"/>
        <item x="142"/>
        <item x="45"/>
        <item x="50"/>
        <item x="72"/>
        <item x="46"/>
        <item x="30"/>
        <item x="174"/>
        <item x="79"/>
        <item x="85"/>
        <item x="170"/>
        <item x="17"/>
        <item x="108"/>
        <item x="107"/>
        <item x="144"/>
        <item x="159"/>
        <item x="129"/>
        <item x="189"/>
        <item x="26"/>
        <item x="153"/>
        <item x="23"/>
        <item x="51"/>
        <item x="65"/>
        <item x="86"/>
        <item x="21"/>
        <item x="6"/>
        <item x="83"/>
        <item x="156"/>
        <item x="82"/>
        <item x="91"/>
        <item x="138"/>
        <item x="66"/>
        <item x="143"/>
        <item x="187"/>
        <item x="122"/>
        <item x="116"/>
        <item x="100"/>
        <item x="172"/>
        <item x="34"/>
        <item x="179"/>
        <item x="29"/>
        <item x="14"/>
        <item x="99"/>
        <item x="87"/>
        <item x="31"/>
        <item x="57"/>
        <item x="41"/>
        <item x="93"/>
        <item x="78"/>
        <item x="106"/>
        <item x="145"/>
        <item x="18"/>
        <item x="5"/>
        <item x="154"/>
        <item x="54"/>
        <item x="89"/>
        <item x="39"/>
        <item x="137"/>
        <item x="44"/>
        <item x="114"/>
        <item x="186"/>
        <item x="25"/>
        <item x="101"/>
        <item x="135"/>
        <item x="97"/>
        <item x="161"/>
        <item x="165"/>
        <item x="0"/>
        <item x="84"/>
        <item x="128"/>
        <item x="140"/>
        <item x="80"/>
        <item x="136"/>
        <item x="168"/>
        <item x="197"/>
        <item x="157"/>
        <item x="183"/>
        <item x="173"/>
        <item x="68"/>
        <item x="55"/>
        <item x="126"/>
        <item x="169"/>
        <item x="185"/>
        <item x="56"/>
        <item x="73"/>
        <item x="49"/>
        <item x="121"/>
        <item x="11"/>
        <item x="132"/>
        <item x="76"/>
        <item x="22"/>
        <item x="62"/>
        <item x="3"/>
        <item x="164"/>
        <item x="7"/>
        <item x="113"/>
        <item x="193"/>
        <item x="16"/>
        <item x="104"/>
        <item x="64"/>
        <item x="15"/>
        <item x="58"/>
        <item x="42"/>
        <item x="33"/>
        <item x="175"/>
        <item x="36"/>
        <item x="90"/>
        <item x="171"/>
        <item x="188"/>
        <item x="192"/>
        <item x="38"/>
        <item x="111"/>
        <item x="148"/>
        <item x="69"/>
        <item x="48"/>
        <item x="198"/>
        <item x="8"/>
        <item x="139"/>
        <item x="160"/>
        <item x="155"/>
        <item x="112"/>
        <item x="124"/>
        <item x="158"/>
        <item x="196"/>
        <item x="105"/>
        <item x="28"/>
        <item x="61"/>
        <item x="74"/>
        <item x="133"/>
        <item x="194"/>
        <item x="147"/>
        <item x="190"/>
        <item x="98"/>
        <item x="130"/>
        <item x="115"/>
        <item x="40"/>
        <item x="53"/>
        <item t="default"/>
      </items>
    </pivotField>
    <pivotField showAll="0"/>
    <pivotField showAll="0"/>
    <pivotField showAll="0"/>
    <pivotField dataField="1" showAll="0"/>
    <pivotField showAll="0"/>
    <pivotField axis="axisRow" showAll="0" sortType="descending" defaultSubtotal="0">
      <items count="5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50">
    <i>
      <x v="31"/>
    </i>
    <i>
      <x v="37"/>
    </i>
    <i>
      <x v="29"/>
    </i>
    <i>
      <x v="39"/>
    </i>
    <i>
      <x v="27"/>
    </i>
    <i>
      <x v="28"/>
    </i>
    <i>
      <x v="49"/>
    </i>
    <i>
      <x v="23"/>
    </i>
    <i>
      <x v="15"/>
    </i>
    <i>
      <x v="44"/>
    </i>
    <i>
      <x v="42"/>
    </i>
    <i>
      <x v="47"/>
    </i>
    <i>
      <x v="26"/>
    </i>
    <i>
      <x v="30"/>
    </i>
    <i>
      <x v="3"/>
    </i>
    <i>
      <x v="19"/>
    </i>
    <i>
      <x v="11"/>
    </i>
    <i>
      <x v="41"/>
    </i>
    <i>
      <x v="38"/>
    </i>
    <i>
      <x v="34"/>
    </i>
    <i>
      <x v="48"/>
    </i>
    <i>
      <x v="32"/>
    </i>
    <i>
      <x v="1"/>
    </i>
    <i>
      <x v="35"/>
    </i>
    <i>
      <x v="17"/>
    </i>
    <i>
      <x v="18"/>
    </i>
    <i>
      <x v="6"/>
    </i>
    <i>
      <x v="4"/>
    </i>
    <i>
      <x v="12"/>
    </i>
    <i>
      <x v="2"/>
    </i>
    <i>
      <x v="13"/>
    </i>
    <i>
      <x v="14"/>
    </i>
    <i>
      <x v="21"/>
    </i>
    <i>
      <x v="33"/>
    </i>
    <i>
      <x v="8"/>
    </i>
    <i>
      <x v="22"/>
    </i>
    <i>
      <x v="45"/>
    </i>
    <i>
      <x v="40"/>
    </i>
    <i>
      <x v="24"/>
    </i>
    <i>
      <x v="7"/>
    </i>
    <i>
      <x v="36"/>
    </i>
    <i>
      <x v="9"/>
    </i>
    <i>
      <x v="50"/>
    </i>
    <i>
      <x v="20"/>
    </i>
    <i>
      <x v="43"/>
    </i>
    <i>
      <x v="16"/>
    </i>
    <i>
      <x v="5"/>
    </i>
    <i>
      <x v="10"/>
    </i>
    <i>
      <x v="25"/>
    </i>
    <i>
      <x v="46"/>
    </i>
  </rowItems>
  <colItems count="1">
    <i/>
  </colItems>
  <dataFields count="1">
    <dataField name="Sum of Net_Followers" fld="8" baseField="0" baseItem="0" numFmtId="2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10" type="button" dataOnly="0" labelOnly="1" outline="0" axis="axisRow" fieldPosition="0"/>
    </format>
    <format dxfId="1">
      <pivotArea dataOnly="0" labelOnly="1" fieldPosition="0">
        <references count="1">
          <reference field="10" count="5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1" id="{17DE24A7-83B7-4ED3-9499-4DD73988B7B6}">
            <x14:pivotAreas count="1">
              <pivotArea type="data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82D6F39-0DFB-4E8A-8262-4FF13A80C0B8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Campaign_Name" tableColumnId="12"/>
      <queryTableField id="13" name="Engagement Rate" tableColumnId="13"/>
      <queryTableField id="14" name="Hashtags Used" tableColumnId="1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6633436-FA10-4EC3-B692-A8B7ECD9FE48}" name="Table1" displayName="Table1" ref="A1:Q301" totalsRowShown="0" headerRowDxfId="108" dataDxfId="106" headerRowBorderDxfId="107" tableBorderDxfId="105">
  <autoFilter ref="A1:Q301" xr:uid="{F9CA8F67-DCEB-4A67-95C3-3D792A4F5942}"/>
  <tableColumns count="17">
    <tableColumn id="1" xr3:uid="{FF8E51AF-1F32-4D6D-A4A8-FB4C038BBFAC}" name="Post ID" dataDxfId="104"/>
    <tableColumn id="2" xr3:uid="{494005F5-33DA-415B-9E3A-CAD0670AC37A}" name="Platform" dataDxfId="103"/>
    <tableColumn id="3" xr3:uid="{34E00BFD-8D1D-415B-A03E-6F6FCA7D02BD}" name="Date" dataDxfId="102"/>
    <tableColumn id="4" xr3:uid="{D28DDA23-2374-4539-B8D4-64559656D612}" name="Content Type" dataDxfId="101"/>
    <tableColumn id="5" xr3:uid="{A8E93F6E-487A-4394-B4D6-495A2D2B87C5}" name="Post Text" dataDxfId="100"/>
    <tableColumn id="6" xr3:uid="{19AE3066-574C-4D17-A2FB-25AF6ECCB2BD}" name="Likes" dataDxfId="99"/>
    <tableColumn id="7" xr3:uid="{62BC4932-F25A-4A0A-9249-2DE994B84E0A}" name="Shares" dataDxfId="98"/>
    <tableColumn id="8" xr3:uid="{283B5F8C-8442-4BF1-BD70-9A5698C8F1E9}" name="Comments" dataDxfId="97"/>
    <tableColumn id="9" xr3:uid="{ECEC0521-30E3-4C33-9D30-71DFF9A9A2FE}" name="Impressions" dataDxfId="96"/>
    <tableColumn id="10" xr3:uid="{4FCCDE61-9068-438B-83B4-4687EBB99C40}" name="Reach" dataCellStyle="60% - Accent1"/>
    <tableColumn id="11" xr3:uid="{2D178AFE-D164-40D9-905D-7DA70501F478}" name="Clicks" dataCellStyle="60% - Accent1"/>
    <tableColumn id="13" xr3:uid="{44408076-739B-4F3E-A8F1-3F0233A3E249}" name="Campaign_Name" dataCellStyle="60% - Accent1"/>
    <tableColumn id="15" xr3:uid="{C155593E-47A5-414A-A3EC-512217D0CDBA}" name="Hashtags Used 1" dataCellStyle="60% - Accent1"/>
    <tableColumn id="16" xr3:uid="{75145E1D-8B1C-4F07-9C3D-A32D7C3CEBD9}" name="Hashtags Used 2" dataCellStyle="60% - Accent1"/>
    <tableColumn id="17" xr3:uid="{C5D38D2F-2FBB-47DA-8873-2CCD0DEDD617}" name="Engagement Rate%" dataDxfId="95" dataCellStyle="60% - Accent1">
      <calculatedColumnFormula>(SUM(Table1[[#This Row],[Likes]],Table1[[#This Row],[Shares]],Table1[[#This Row],[Comments]])/Table1[[#This Row],[Impressions]] )</calculatedColumnFormula>
    </tableColumn>
    <tableColumn id="18" xr3:uid="{F1C5AC9B-F3AA-4E3D-A225-AEEC05AC6C41}" name="Hashtags Used" dataCellStyle="60% - Accent1"/>
    <tableColumn id="12" xr3:uid="{BDD59B7D-5DB4-4690-B7BA-142F1EC2C95C}" name="Engagement _Rate" dataDxfId="94" dataCellStyle="60% - Accent1">
      <calculatedColumnFormula>SUM(G2,H2,K2)</calculatedColumnFormula>
    </tableColumn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460AE97-D8F2-4C10-A1B7-CC8D19A3D5E7}" name="Table8" displayName="Table8" ref="A1:F5" totalsRowShown="0" headerRowBorderDxfId="93" tableBorderDxfId="92" totalsRowBorderDxfId="91">
  <autoFilter ref="A1:F5" xr:uid="{F7697CD3-62BC-4D53-9C00-FB1A9E9B223D}"/>
  <tableColumns count="6">
    <tableColumn id="1" xr3:uid="{04937A03-319C-45B0-8065-E1A51934E1B8}" name="Campaign_Name" dataDxfId="90"/>
    <tableColumn id="2" xr3:uid="{D921B78E-3E3F-4644-A9E4-C27099EA3A85}" name="Start_Date" dataDxfId="89"/>
    <tableColumn id="3" xr3:uid="{9E998B30-46A0-42C5-B3B9-19E36A8EC1D5}" name="End_Date" dataDxfId="88"/>
    <tableColumn id="4" xr3:uid="{DB5DE24B-2E26-4696-8CDF-6579E40891AA}" name="Objective" dataDxfId="87"/>
    <tableColumn id="5" xr3:uid="{E25342FB-E201-42AA-BD7B-EB3B47266639}" name="Total_Budget" dataDxfId="86"/>
    <tableColumn id="6" xr3:uid="{0E10B916-E64B-44E1-85CC-A48C93340D56}" name="Target_Platforms" dataDxfId="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6DC6672-F8BF-486C-9CD7-323EB8E9BB59}" name="Table219" displayName="Table219" ref="L1:L301" totalsRowShown="0" headerRowDxfId="84" dataDxfId="82" headerRowBorderDxfId="83" tableBorderDxfId="81">
  <autoFilter ref="L1:L301" xr:uid="{975F4578-7C0A-498A-8F4E-7CEEA25D4A76}"/>
  <tableColumns count="1">
    <tableColumn id="1" xr3:uid="{38F527D9-5C0B-4987-BD0C-3BE2BA9EF9B0}" name="Hashtags Used" dataDxfId="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661F9AC-CD72-45D1-9FC2-73250AA2D20D}" name="Table7_1" displayName="Table7_1" ref="A1:N457" tableType="queryTable" totalsRowShown="0">
  <autoFilter ref="A1:N457" xr:uid="{201D131F-B974-4B5F-8AE4-AA124AFD1B36}"/>
  <tableColumns count="14">
    <tableColumn id="1" xr3:uid="{50E3E0BC-4B9E-40AB-854E-16C3223E3568}" uniqueName="1" name="Post ID" queryTableFieldId="1" dataDxfId="79"/>
    <tableColumn id="2" xr3:uid="{F56BD017-0EFB-473B-8741-4C06DC4074A9}" uniqueName="2" name="Platform" queryTableFieldId="2" dataDxfId="78"/>
    <tableColumn id="3" xr3:uid="{501E9F40-8A8B-429A-A04F-2A0CCD05A69A}" uniqueName="3" name="Date" queryTableFieldId="3" dataDxfId="77"/>
    <tableColumn id="4" xr3:uid="{5CC57659-EE39-427F-A7F4-7C200A578C41}" uniqueName="4" name="Content Type" queryTableFieldId="4" dataDxfId="76"/>
    <tableColumn id="5" xr3:uid="{0E3FB0FD-60DE-48F9-9EC2-ED0EC8C5AD34}" uniqueName="5" name="Post Text" queryTableFieldId="5" dataDxfId="75"/>
    <tableColumn id="6" xr3:uid="{BEE6DAFD-7262-4D84-8CF8-08305A2621FA}" uniqueName="6" name="Likes" queryTableFieldId="6"/>
    <tableColumn id="7" xr3:uid="{5199AB04-DEA9-4E2C-B91E-2C962A948ED4}" uniqueName="7" name="Shares" queryTableFieldId="7"/>
    <tableColumn id="8" xr3:uid="{D1D45882-993E-45DE-AF33-D3C2A41C3FE7}" uniqueName="8" name="Comments" queryTableFieldId="8"/>
    <tableColumn id="9" xr3:uid="{0130D2FB-94A1-4FDA-93D8-0000FB033EE2}" uniqueName="9" name="Impressions" queryTableFieldId="9"/>
    <tableColumn id="10" xr3:uid="{6BA6A088-D491-421A-A7C5-ED895782911C}" uniqueName="10" name="Reach" queryTableFieldId="10"/>
    <tableColumn id="11" xr3:uid="{B60230D8-A0D6-4DDF-A746-0E95E042AE39}" uniqueName="11" name="Clicks" queryTableFieldId="11"/>
    <tableColumn id="12" xr3:uid="{B3E83AD6-0710-49B0-8874-780FD3580442}" uniqueName="12" name="Campaign_Name" queryTableFieldId="12" dataDxfId="74"/>
    <tableColumn id="13" xr3:uid="{A3075969-D197-4BB6-8E8E-ACA88A12E0E4}" uniqueName="13" name="Engagement Rate" queryTableFieldId="13"/>
    <tableColumn id="14" xr3:uid="{77288BDB-10D5-4FA9-8FFA-76A17C711115}" uniqueName="14" name="Hashtags Used" queryTableFieldId="14" dataDxfId="7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C2949F9-9063-408B-B518-4608ABB8450A}" name="Table5" displayName="Table5" ref="A1:J201" totalsRowShown="0" headerRowDxfId="72" dataDxfId="71">
  <autoFilter ref="A1:J201" xr:uid="{48DE89A7-3AAA-4903-A030-4B9C29319775}"/>
  <tableColumns count="10">
    <tableColumn id="1" xr3:uid="{D3D16005-AB5C-4768-82D6-4B9B9F0F936E}" name="Week_Start_Date" dataDxfId="70"/>
    <tableColumn id="2" xr3:uid="{4E259805-50FA-46DB-9F9E-D22371FC6165}" name="Platform" dataDxfId="69"/>
    <tableColumn id="3" xr3:uid="{EA04554E-4FF6-4396-B5DE-118A630FDEC1}" name="New_Followers" dataDxfId="68"/>
    <tableColumn id="4" xr3:uid="{36FCC61E-98F9-4958-8603-9376167C6438}" name="Unfollows" dataDxfId="67"/>
    <tableColumn id="5" xr3:uid="{7D1B3EF3-7B1D-47DE-9110-E5C1F2972A39}" name="Total_Followers" dataDxfId="66"/>
    <tableColumn id="6" xr3:uid="{E1D92E65-2403-4A50-A14E-36ED1758BC4F}" name="Engagement_Rate" dataDxfId="65"/>
    <tableColumn id="7" xr3:uid="{DD0FBD66-832F-4EA8-8DCD-FB9495BC4342}" name="Ad_Spend" dataDxfId="64"/>
    <tableColumn id="8" xr3:uid="{96387A11-C28D-4BAB-9E7D-B98D637A29EF}" name="Follower Growth Rate" dataDxfId="63">
      <calculatedColumnFormula>(((Table5[[#This Row],[New_Followers]]-Table5[[#This Row],[Unfollows]])+Table5[[#This Row],[Total_Followers]])/Table5[[#This Row],[Total_Followers]])</calculatedColumnFormula>
    </tableColumn>
    <tableColumn id="9" xr3:uid="{364D70A8-64D9-4F42-8AFF-5A19C65E3190}" name="Net_Followers" dataDxfId="62">
      <calculatedColumnFormula>Table5[[#This Row],[New_Followers]]-Table5[[#This Row],[Unfollows]]</calculatedColumnFormula>
    </tableColumn>
    <tableColumn id="10" xr3:uid="{A4CBCA27-00AA-4CBF-907B-9E8AD2804D45}" name="Engagement" dataDxfId="61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E3838B-420E-47AE-9D93-2BBEE93E02CF}" name="Table6" displayName="Table6" ref="A1:C5" totalsRowShown="0" headerRowCellStyle="Normal 2" dataCellStyle="Normal 2">
  <autoFilter ref="A1:C5" xr:uid="{7FE3838B-420E-47AE-9D93-2BBEE93E02CF}"/>
  <tableColumns count="3">
    <tableColumn id="1" xr3:uid="{AC721AA8-18F9-4DF0-A9D4-5B977895AB45}" name="Platforms" dataCellStyle="Normal 2"/>
    <tableColumn id="2" xr3:uid="{056F67C8-52A1-487F-B3A1-8C21056D3A9F}" name="Total Engagement rate" dataCellStyle="Normal 2"/>
    <tableColumn id="3" xr3:uid="{CB988C5B-4FD3-4381-9FAC-D746593ED685}" name="Total Ad Spend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628FB-5FC8-4C91-A25B-ECB1930EAA50}" name="Table4" displayName="Table4" ref="A1:D6" totalsRowShown="0" headerRowCellStyle="Normal 3" dataCellStyle="Normal 3">
  <autoFilter ref="A1:D6" xr:uid="{A00628FB-5FC8-4C91-A25B-ECB1930EAA50}"/>
  <tableColumns count="4">
    <tableColumn id="1" xr3:uid="{491ED40E-436B-4513-A199-289382E229B2}" name="Campaign" dataCellStyle="Normal 3"/>
    <tableColumn id="2" xr3:uid="{8158E305-E4FE-440A-BB86-2D199BA2FB37}" name="Engagement during campaign" dataCellStyle="Normal 3"/>
    <tableColumn id="3" xr3:uid="{55C3C298-9168-4C3F-9B4C-41C9E5191480}" name=" Engagement before campaign" dataCellStyle="Normal 3"/>
    <tableColumn id="4" xr3:uid="{39D0EEE4-7E6C-42E2-AF5C-168D7EB5DFB7}" name="Engagement Uplift" dataCellStyle="Normal 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6F6023-9A37-4F7F-82AB-4A342B5E8DDD}" name="Table9" displayName="Table9" ref="A1:I5" totalsRowShown="0" headerRowCellStyle="Normal 3" dataCellStyle="Normal 3">
  <autoFilter ref="A1:I5" xr:uid="{096F6023-9A37-4F7F-82AB-4A342B5E8DDD}"/>
  <tableColumns count="9">
    <tableColumn id="1" xr3:uid="{EC0F51AA-3D01-4EE5-BF7F-ACB6F8D3384B}" name="Campaign_Name" dataCellStyle="Normal 3"/>
    <tableColumn id="2" xr3:uid="{B5206094-0868-418D-8733-F024894757B2}" name="Start_Date" dataCellStyle="Normal 3"/>
    <tableColumn id="3" xr3:uid="{22547477-DDEF-47E1-9039-06902D80D72A}" name="End_Date" dataCellStyle="Normal 3"/>
    <tableColumn id="4" xr3:uid="{C60D7C7D-9CF4-48B8-927B-9C6E27C47DBB}" name="Target_Platforms" dataCellStyle="Normal 3"/>
    <tableColumn id="5" xr3:uid="{675E58B6-A2E2-46C1-8627-B13997F8C667}" name=" Avg_During" dataCellStyle="Normal 3"/>
    <tableColumn id="6" xr3:uid="{34880359-C87C-4AB2-A566-74A7766E79BD}" name=" Avg_before" dataCellStyle="Normal 3"/>
    <tableColumn id="7" xr3:uid="{ED4E65FE-3EB3-49DE-9F77-4633B0CC0599}" name="Follower_Uplift" dataCellStyle="Normal 3"/>
    <tableColumn id="8" xr3:uid="{9A55446B-605F-4B9E-AB3C-3BCB6B8400A6}" name="ROI " dataCellStyle="Normal 3"/>
    <tableColumn id="9" xr3:uid="{6F347CB3-07B6-4494-A67C-856B3E7CA8ED}" name="Verdict" dataCellStyle="Normal 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B4F43-C42E-448A-9AF9-4B2776E8092F}" name="Table2" displayName="Table2" ref="A1:E51" totalsRowShown="0" headerRowDxfId="20" headerRowBorderDxfId="19">
  <autoFilter ref="A1:E51" xr:uid="{9B9B4F43-C42E-448A-9AF9-4B2776E8092F}"/>
  <tableColumns count="5">
    <tableColumn id="1" xr3:uid="{39F490DF-5396-41D3-BD98-ED3DE2148CA8}" name=" Weeks" dataDxfId="18"/>
    <tableColumn id="2" xr3:uid="{5DB591B6-22EE-4F50-97F3-B66862190094}" name="Facebook"/>
    <tableColumn id="3" xr3:uid="{EB49442A-F097-4265-910A-C418FAD6F5CF}" name="Instagram"/>
    <tableColumn id="4" xr3:uid="{850579B8-673D-4474-AA5F-C30516E438EE}" name="Twitter"/>
    <tableColumn id="5" xr3:uid="{AF38A5CD-39B9-4A66-8E38-275DBA4B4194}" name="YouTube"/>
  </tableColumns>
  <tableStyleInfo name="TableStyleLight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77827E-C8C9-4678-96F3-69D537B03B12}" name="Table3" displayName="Table3" ref="A1:A201" totalsRowShown="0" headerRowDxfId="17" headerRowBorderDxfId="16" tableBorderDxfId="15" totalsRowBorderDxfId="14">
  <autoFilter ref="A1:A201" xr:uid="{6577827E-C8C9-4678-96F3-69D537B03B12}"/>
  <tableColumns count="1">
    <tableColumn id="1" xr3:uid="{47C3539C-7386-4F7E-8675-75B1C1EAD970}" name="Week_Start_Date" dataDxfId="13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75EFCA-76C5-4D21-A229-387604524C93}" name="Table7" displayName="Table7" ref="A1:D51" totalsRowShown="0" headerRowDxfId="12" headerRowBorderDxfId="11" tableBorderDxfId="10" totalsRowBorderDxfId="9" headerRowCellStyle="40% - Accent2">
  <autoFilter ref="A1:D51" xr:uid="{6B75EFCA-76C5-4D21-A229-387604524C93}"/>
  <tableColumns count="4">
    <tableColumn id="1" xr3:uid="{56FE0F69-8C57-4025-A00D-405C60B42CCB}" name="Week_Start_Date" dataDxfId="8"/>
    <tableColumn id="2" xr3:uid="{FD703BB7-1BB6-41A6-8B10-44F311B00ACB}" name="Platform" dataDxfId="7"/>
    <tableColumn id="3" xr3:uid="{EB6DFC02-8C2E-4225-9DBE-C3CD1F1B1D62}" name="Ad_Spend" dataDxfId="6"/>
    <tableColumn id="4" xr3:uid="{5B7738A5-9117-42F1-89BA-0DD85034E55B}" name="Net_Follower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D3F2-EEF5-45F8-AC91-89B461F3CE66}">
  <dimension ref="F3:O25"/>
  <sheetViews>
    <sheetView workbookViewId="0">
      <selection activeCell="Q13" sqref="Q13"/>
    </sheetView>
  </sheetViews>
  <sheetFormatPr defaultRowHeight="14.4" x14ac:dyDescent="0.3"/>
  <cols>
    <col min="11" max="11" width="14.109375" customWidth="1"/>
  </cols>
  <sheetData>
    <row r="3" spans="6:15" x14ac:dyDescent="0.3">
      <c r="F3" s="88"/>
      <c r="G3" s="88"/>
      <c r="H3" s="88"/>
      <c r="I3" s="88"/>
      <c r="J3" s="88"/>
      <c r="K3" s="88"/>
      <c r="L3" s="88"/>
      <c r="M3" s="88"/>
      <c r="N3" s="88"/>
      <c r="O3" s="88"/>
    </row>
    <row r="4" spans="6:15" x14ac:dyDescent="0.3">
      <c r="F4" s="88"/>
      <c r="G4" s="88"/>
      <c r="H4" s="88"/>
      <c r="I4" s="88"/>
      <c r="J4" s="88"/>
      <c r="K4" s="88"/>
      <c r="L4" s="88"/>
      <c r="M4" s="88"/>
      <c r="N4" s="88"/>
      <c r="O4" s="88"/>
    </row>
    <row r="5" spans="6:15" x14ac:dyDescent="0.3">
      <c r="F5" s="88"/>
      <c r="G5" s="88" t="s">
        <v>680</v>
      </c>
      <c r="H5" s="88"/>
      <c r="I5" s="88"/>
      <c r="J5" s="88"/>
      <c r="K5" s="88"/>
      <c r="L5" s="88"/>
      <c r="M5" s="88"/>
      <c r="N5" s="88"/>
      <c r="O5" s="88"/>
    </row>
    <row r="6" spans="6:15" x14ac:dyDescent="0.3">
      <c r="F6" s="88"/>
      <c r="G6" s="88"/>
      <c r="H6" s="88"/>
      <c r="I6" s="88"/>
      <c r="J6" s="88"/>
      <c r="K6" s="88"/>
      <c r="L6" s="88"/>
      <c r="M6" s="88"/>
      <c r="N6" s="88"/>
      <c r="O6" s="88"/>
    </row>
    <row r="7" spans="6:15" x14ac:dyDescent="0.3">
      <c r="F7" s="88"/>
      <c r="G7" s="88"/>
      <c r="H7" s="88"/>
      <c r="I7" s="88"/>
      <c r="J7" s="88"/>
      <c r="K7" s="88"/>
      <c r="L7" s="88"/>
      <c r="M7" s="88"/>
      <c r="N7" s="88"/>
      <c r="O7" s="88"/>
    </row>
    <row r="8" spans="6:15" x14ac:dyDescent="0.3">
      <c r="F8" s="88"/>
      <c r="G8" s="88" t="s">
        <v>681</v>
      </c>
      <c r="H8" s="88"/>
      <c r="I8" s="88"/>
      <c r="J8" s="88"/>
      <c r="K8" s="88"/>
      <c r="L8" s="88"/>
      <c r="M8" s="88"/>
      <c r="N8" s="88"/>
      <c r="O8" s="88"/>
    </row>
    <row r="9" spans="6:15" x14ac:dyDescent="0.3">
      <c r="F9" s="88"/>
      <c r="G9" s="88" t="s">
        <v>682</v>
      </c>
      <c r="H9" s="88"/>
      <c r="I9" s="88"/>
      <c r="J9" s="88"/>
      <c r="K9" s="88"/>
      <c r="L9" s="88"/>
      <c r="M9" s="88"/>
      <c r="N9" s="88"/>
      <c r="O9" s="88"/>
    </row>
    <row r="10" spans="6:15" x14ac:dyDescent="0.3">
      <c r="F10" s="88"/>
      <c r="G10" s="88" t="s">
        <v>683</v>
      </c>
      <c r="H10" s="88"/>
      <c r="I10" s="88"/>
      <c r="J10" s="88"/>
      <c r="K10" s="88"/>
      <c r="L10" s="88"/>
      <c r="M10" s="88"/>
      <c r="N10" s="88"/>
      <c r="O10" s="88"/>
    </row>
    <row r="11" spans="6:15" x14ac:dyDescent="0.3">
      <c r="F11" s="88"/>
      <c r="G11" s="88" t="s">
        <v>684</v>
      </c>
      <c r="H11" s="88"/>
      <c r="I11" s="88"/>
      <c r="J11" s="88"/>
      <c r="K11" s="88"/>
      <c r="L11" s="88"/>
      <c r="M11" s="88"/>
      <c r="N11" s="88"/>
      <c r="O11" s="88"/>
    </row>
    <row r="12" spans="6:15" x14ac:dyDescent="0.3">
      <c r="F12" s="88"/>
      <c r="G12" s="88"/>
      <c r="H12" s="88"/>
      <c r="I12" s="88"/>
      <c r="J12" s="88"/>
      <c r="K12" s="88"/>
      <c r="L12" s="88"/>
      <c r="M12" s="88"/>
      <c r="N12" s="88"/>
      <c r="O12" s="88"/>
    </row>
    <row r="13" spans="6:15" x14ac:dyDescent="0.3">
      <c r="F13" s="88"/>
      <c r="G13" s="88" t="s">
        <v>685</v>
      </c>
      <c r="H13" s="88"/>
      <c r="I13" s="88"/>
      <c r="J13" s="88"/>
      <c r="K13" s="88"/>
      <c r="L13" s="88"/>
      <c r="M13" s="88"/>
      <c r="N13" s="88"/>
      <c r="O13" s="88"/>
    </row>
    <row r="14" spans="6:15" x14ac:dyDescent="0.3">
      <c r="F14" s="88"/>
      <c r="G14" s="88" t="s">
        <v>686</v>
      </c>
      <c r="H14" s="88"/>
      <c r="I14" s="88"/>
      <c r="J14" s="88"/>
      <c r="K14" s="88"/>
      <c r="L14" s="88"/>
      <c r="M14" s="88"/>
      <c r="N14" s="88"/>
      <c r="O14" s="88"/>
    </row>
    <row r="15" spans="6:15" x14ac:dyDescent="0.3">
      <c r="F15" s="88"/>
      <c r="G15" s="88" t="s">
        <v>687</v>
      </c>
      <c r="H15" s="88"/>
      <c r="I15" s="88"/>
      <c r="J15" s="88"/>
      <c r="K15" s="88"/>
      <c r="L15" s="88"/>
      <c r="M15" s="88"/>
      <c r="N15" s="88"/>
      <c r="O15" s="88"/>
    </row>
    <row r="16" spans="6:15" x14ac:dyDescent="0.3">
      <c r="F16" s="88"/>
      <c r="G16" s="88" t="s">
        <v>688</v>
      </c>
      <c r="H16" s="88"/>
      <c r="I16" s="88"/>
      <c r="J16" s="88"/>
      <c r="K16" s="88"/>
      <c r="L16" s="88"/>
      <c r="M16" s="88"/>
      <c r="N16" s="88"/>
      <c r="O16" s="88"/>
    </row>
    <row r="17" spans="6:15" x14ac:dyDescent="0.3">
      <c r="F17" s="88"/>
      <c r="G17" s="88" t="s">
        <v>689</v>
      </c>
      <c r="H17" s="88"/>
      <c r="I17" s="88"/>
      <c r="J17" s="88"/>
      <c r="K17" s="88"/>
      <c r="L17" s="88"/>
      <c r="M17" s="88"/>
      <c r="N17" s="88"/>
      <c r="O17" s="88"/>
    </row>
    <row r="18" spans="6:15" x14ac:dyDescent="0.3">
      <c r="F18" s="88"/>
      <c r="G18" s="88"/>
      <c r="H18" s="88"/>
      <c r="I18" s="88"/>
      <c r="J18" s="88"/>
      <c r="K18" s="88"/>
      <c r="L18" s="88"/>
      <c r="M18" s="88"/>
      <c r="N18" s="88"/>
      <c r="O18" s="88"/>
    </row>
    <row r="19" spans="6:15" x14ac:dyDescent="0.3">
      <c r="F19" s="88"/>
      <c r="G19" s="88"/>
      <c r="H19" s="88"/>
      <c r="I19" s="88"/>
      <c r="J19" s="88"/>
      <c r="K19" s="88"/>
      <c r="L19" s="88"/>
      <c r="M19" s="88"/>
      <c r="N19" s="88"/>
      <c r="O19" s="88"/>
    </row>
    <row r="20" spans="6:15" x14ac:dyDescent="0.3">
      <c r="F20" s="88"/>
      <c r="G20" s="88" t="s">
        <v>690</v>
      </c>
      <c r="H20" s="88"/>
      <c r="I20" s="88"/>
      <c r="J20" s="88"/>
      <c r="K20" s="88"/>
      <c r="L20" s="88"/>
      <c r="M20" s="88"/>
      <c r="N20" s="88"/>
      <c r="O20" s="88"/>
    </row>
    <row r="21" spans="6:15" x14ac:dyDescent="0.3">
      <c r="F21" s="88"/>
      <c r="G21" s="88" t="s">
        <v>691</v>
      </c>
      <c r="H21" s="88"/>
      <c r="I21" s="88"/>
      <c r="J21" s="88"/>
      <c r="K21" s="88"/>
      <c r="L21" s="88"/>
      <c r="M21" s="88"/>
      <c r="N21" s="88"/>
      <c r="O21" s="88"/>
    </row>
    <row r="22" spans="6:15" x14ac:dyDescent="0.3">
      <c r="F22" s="88"/>
      <c r="G22" s="88" t="s">
        <v>692</v>
      </c>
      <c r="H22" s="88"/>
      <c r="I22" s="88"/>
      <c r="J22" s="88"/>
      <c r="K22" s="88"/>
      <c r="L22" s="88"/>
      <c r="M22" s="88"/>
      <c r="N22" s="88"/>
      <c r="O22" s="88"/>
    </row>
    <row r="23" spans="6:15" x14ac:dyDescent="0.3">
      <c r="F23" s="88"/>
      <c r="G23" s="88"/>
      <c r="H23" s="88"/>
      <c r="I23" s="88"/>
      <c r="J23" s="88"/>
      <c r="K23" s="88"/>
      <c r="L23" s="88"/>
      <c r="M23" s="88"/>
      <c r="N23" s="88"/>
      <c r="O23" s="88"/>
    </row>
    <row r="24" spans="6:15" x14ac:dyDescent="0.3">
      <c r="F24" s="88"/>
      <c r="G24" s="88"/>
      <c r="H24" s="88"/>
      <c r="I24" s="88"/>
      <c r="J24" s="88"/>
      <c r="K24" s="88"/>
      <c r="L24" s="88"/>
      <c r="M24" s="88"/>
      <c r="N24" s="88"/>
      <c r="O24" s="88"/>
    </row>
    <row r="25" spans="6:15" x14ac:dyDescent="0.3">
      <c r="F25" s="88"/>
      <c r="G25" s="88"/>
      <c r="H25" s="88"/>
      <c r="I25" s="88"/>
      <c r="J25" s="88"/>
      <c r="K25" s="88"/>
      <c r="L25" s="88"/>
      <c r="M25" s="88"/>
      <c r="N25" s="88"/>
      <c r="O25" s="8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3031-94C1-4070-8259-B3ABC5E7DE57}">
  <dimension ref="A1:Q1000"/>
  <sheetViews>
    <sheetView topLeftCell="J1" zoomScale="77" workbookViewId="0">
      <selection activeCell="T16" sqref="T16"/>
    </sheetView>
  </sheetViews>
  <sheetFormatPr defaultColWidth="14.44140625" defaultRowHeight="15" customHeight="1" x14ac:dyDescent="0.3"/>
  <cols>
    <col min="1" max="1" width="13.21875" style="15" customWidth="1"/>
    <col min="2" max="3" width="14.44140625" style="15" customWidth="1"/>
    <col min="4" max="4" width="15.77734375" style="15" customWidth="1"/>
    <col min="5" max="5" width="27.33203125" style="15" customWidth="1"/>
    <col min="6" max="6" width="10.77734375" style="15" customWidth="1"/>
    <col min="7" max="7" width="9.88671875" style="15" customWidth="1"/>
    <col min="8" max="8" width="12.44140625" style="15" customWidth="1"/>
    <col min="9" max="9" width="16.88671875" style="15" customWidth="1"/>
    <col min="10" max="10" width="12.77734375" style="15" customWidth="1"/>
    <col min="11" max="11" width="12" style="15" customWidth="1"/>
    <col min="12" max="12" width="27.77734375" style="15" customWidth="1"/>
    <col min="13" max="13" width="22.88671875" style="15" customWidth="1"/>
    <col min="14" max="14" width="23.109375" style="15" customWidth="1"/>
    <col min="15" max="15" width="16.88671875" style="15" customWidth="1"/>
    <col min="16" max="16" width="26.44140625" style="15" customWidth="1"/>
    <col min="17" max="17" width="33.109375" style="15" customWidth="1"/>
    <col min="18" max="26" width="8.6640625" style="15" customWidth="1"/>
    <col min="27" max="16384" width="14.44140625" style="15"/>
  </cols>
  <sheetData>
    <row r="1" spans="1:17" ht="14.25" customHeight="1" x14ac:dyDescent="0.3">
      <c r="A1" s="47" t="s">
        <v>64</v>
      </c>
      <c r="B1" s="47" t="s">
        <v>63</v>
      </c>
      <c r="C1" s="47" t="s">
        <v>65</v>
      </c>
      <c r="D1" s="47" t="s">
        <v>66</v>
      </c>
      <c r="E1" s="47" t="s">
        <v>67</v>
      </c>
      <c r="F1" s="47" t="s">
        <v>68</v>
      </c>
      <c r="G1" s="47" t="s">
        <v>69</v>
      </c>
      <c r="H1" s="47" t="s">
        <v>70</v>
      </c>
      <c r="I1" s="47" t="s">
        <v>71</v>
      </c>
      <c r="J1" s="89" t="s">
        <v>72</v>
      </c>
      <c r="K1" s="89" t="s">
        <v>73</v>
      </c>
      <c r="L1" s="89" t="s">
        <v>75</v>
      </c>
      <c r="M1" s="89" t="s">
        <v>662</v>
      </c>
      <c r="N1" s="89" t="s">
        <v>663</v>
      </c>
      <c r="O1" s="89" t="s">
        <v>664</v>
      </c>
      <c r="P1" s="89" t="s">
        <v>74</v>
      </c>
      <c r="Q1" s="89" t="s">
        <v>665</v>
      </c>
    </row>
    <row r="2" spans="1:17" ht="14.25" customHeight="1" x14ac:dyDescent="0.3">
      <c r="A2" s="15" t="s">
        <v>77</v>
      </c>
      <c r="B2" s="15" t="s">
        <v>3</v>
      </c>
      <c r="C2" s="48" t="s">
        <v>78</v>
      </c>
      <c r="D2" s="15" t="s">
        <v>79</v>
      </c>
      <c r="E2" s="15" t="s">
        <v>80</v>
      </c>
      <c r="F2" s="15">
        <v>1461</v>
      </c>
      <c r="G2" s="15">
        <v>184</v>
      </c>
      <c r="H2" s="15">
        <v>344</v>
      </c>
      <c r="I2" s="15">
        <v>21915</v>
      </c>
      <c r="J2" s="90">
        <v>21675</v>
      </c>
      <c r="K2" s="90">
        <v>15</v>
      </c>
      <c r="L2" s="90" t="s">
        <v>82</v>
      </c>
      <c r="M2" s="90" t="s">
        <v>81</v>
      </c>
      <c r="N2" s="90" t="s">
        <v>666</v>
      </c>
      <c r="O2" s="91">
        <f>(SUM(Table1[[#This Row],[Likes]],Table1[[#This Row],[Shares]],Table1[[#This Row],[Comments]])/Table1[[#This Row],[Impressions]] )</f>
        <v>9.0759753593429152E-2</v>
      </c>
      <c r="P2" s="90" t="s">
        <v>81</v>
      </c>
      <c r="Q2" s="90">
        <f t="shared" ref="Q2:Q65" si="0">SUM(G2,H2,K2)</f>
        <v>543</v>
      </c>
    </row>
    <row r="3" spans="1:17" ht="14.25" customHeight="1" x14ac:dyDescent="0.3">
      <c r="A3" s="15" t="s">
        <v>83</v>
      </c>
      <c r="B3" s="15" t="s">
        <v>3</v>
      </c>
      <c r="C3" s="48" t="s">
        <v>84</v>
      </c>
      <c r="D3" s="15" t="s">
        <v>85</v>
      </c>
      <c r="E3" s="15" t="s">
        <v>86</v>
      </c>
      <c r="F3" s="15">
        <v>4054</v>
      </c>
      <c r="G3" s="15">
        <v>389</v>
      </c>
      <c r="H3" s="15">
        <v>493</v>
      </c>
      <c r="I3" s="15">
        <v>64864</v>
      </c>
      <c r="J3" s="90">
        <v>64383</v>
      </c>
      <c r="K3" s="90">
        <v>117</v>
      </c>
      <c r="L3" s="90" t="s">
        <v>88</v>
      </c>
      <c r="M3" s="90" t="s">
        <v>87</v>
      </c>
      <c r="N3" s="90" t="s">
        <v>666</v>
      </c>
      <c r="O3" s="91">
        <f>(SUM(Table1[[#This Row],[Likes]],Table1[[#This Row],[Shares]],Table1[[#This Row],[Comments]])/Table1[[#This Row],[Impressions]] )</f>
        <v>7.6097681302417369E-2</v>
      </c>
      <c r="P3" s="90" t="s">
        <v>87</v>
      </c>
      <c r="Q3" s="90">
        <f t="shared" si="0"/>
        <v>999</v>
      </c>
    </row>
    <row r="4" spans="1:17" ht="14.25" customHeight="1" x14ac:dyDescent="0.3">
      <c r="A4" s="15" t="s">
        <v>89</v>
      </c>
      <c r="B4" s="15" t="s">
        <v>4</v>
      </c>
      <c r="C4" s="48" t="s">
        <v>90</v>
      </c>
      <c r="D4" s="15" t="s">
        <v>79</v>
      </c>
      <c r="E4" s="15" t="s">
        <v>80</v>
      </c>
      <c r="F4" s="15">
        <v>2795</v>
      </c>
      <c r="G4" s="15">
        <v>105</v>
      </c>
      <c r="H4" s="15">
        <v>49</v>
      </c>
      <c r="I4" s="15">
        <v>53105</v>
      </c>
      <c r="J4" s="90">
        <v>52307</v>
      </c>
      <c r="K4" s="90">
        <v>204</v>
      </c>
      <c r="L4" s="90" t="s">
        <v>82</v>
      </c>
      <c r="M4" s="90" t="s">
        <v>87</v>
      </c>
      <c r="N4" s="90" t="s">
        <v>81</v>
      </c>
      <c r="O4" s="91">
        <f>(SUM(Table1[[#This Row],[Likes]],Table1[[#This Row],[Shares]],Table1[[#This Row],[Comments]])/Table1[[#This Row],[Impressions]] )</f>
        <v>5.5531494209584788E-2</v>
      </c>
      <c r="P4" s="90" t="s">
        <v>91</v>
      </c>
      <c r="Q4" s="90">
        <f t="shared" si="0"/>
        <v>358</v>
      </c>
    </row>
    <row r="5" spans="1:17" ht="14.25" customHeight="1" x14ac:dyDescent="0.3">
      <c r="A5" s="15" t="s">
        <v>92</v>
      </c>
      <c r="B5" s="15" t="s">
        <v>2</v>
      </c>
      <c r="C5" s="48" t="s">
        <v>93</v>
      </c>
      <c r="D5" s="15" t="s">
        <v>94</v>
      </c>
      <c r="E5" s="15" t="s">
        <v>95</v>
      </c>
      <c r="F5" s="15">
        <v>2404</v>
      </c>
      <c r="G5" s="15">
        <v>363</v>
      </c>
      <c r="H5" s="15">
        <v>138</v>
      </c>
      <c r="I5" s="15">
        <v>19232</v>
      </c>
      <c r="J5" s="90">
        <v>18636</v>
      </c>
      <c r="K5" s="90">
        <v>128</v>
      </c>
      <c r="L5" s="90" t="s">
        <v>82</v>
      </c>
      <c r="M5" s="90" t="s">
        <v>81</v>
      </c>
      <c r="N5" s="90" t="s">
        <v>666</v>
      </c>
      <c r="O5" s="91">
        <f>(SUM(Table1[[#This Row],[Likes]],Table1[[#This Row],[Shares]],Table1[[#This Row],[Comments]])/Table1[[#This Row],[Impressions]] )</f>
        <v>0.15105033277870217</v>
      </c>
      <c r="P5" s="90" t="s">
        <v>81</v>
      </c>
      <c r="Q5" s="90">
        <f t="shared" si="0"/>
        <v>629</v>
      </c>
    </row>
    <row r="6" spans="1:17" ht="14.25" customHeight="1" x14ac:dyDescent="0.3">
      <c r="A6" s="15" t="s">
        <v>96</v>
      </c>
      <c r="B6" s="15" t="s">
        <v>4</v>
      </c>
      <c r="C6" s="48" t="s">
        <v>97</v>
      </c>
      <c r="D6" s="15" t="s">
        <v>79</v>
      </c>
      <c r="E6" s="15" t="s">
        <v>80</v>
      </c>
      <c r="F6" s="15">
        <v>3557</v>
      </c>
      <c r="G6" s="15">
        <v>687</v>
      </c>
      <c r="H6" s="15">
        <v>424</v>
      </c>
      <c r="I6" s="15">
        <v>71140</v>
      </c>
      <c r="J6" s="90">
        <v>70701</v>
      </c>
      <c r="K6" s="90">
        <v>224</v>
      </c>
      <c r="L6" s="90" t="s">
        <v>99</v>
      </c>
      <c r="M6" s="90" t="s">
        <v>118</v>
      </c>
      <c r="N6" s="90" t="s">
        <v>87</v>
      </c>
      <c r="O6" s="91">
        <f>(SUM(Table1[[#This Row],[Likes]],Table1[[#This Row],[Shares]],Table1[[#This Row],[Comments]])/Table1[[#This Row],[Impressions]] )</f>
        <v>6.5617093055946027E-2</v>
      </c>
      <c r="P6" s="90" t="s">
        <v>98</v>
      </c>
      <c r="Q6" s="90">
        <f t="shared" si="0"/>
        <v>1335</v>
      </c>
    </row>
    <row r="7" spans="1:17" ht="14.25" customHeight="1" x14ac:dyDescent="0.3">
      <c r="A7" s="15" t="s">
        <v>100</v>
      </c>
      <c r="B7" s="15" t="s">
        <v>1</v>
      </c>
      <c r="C7" s="48" t="s">
        <v>101</v>
      </c>
      <c r="D7" s="15" t="s">
        <v>102</v>
      </c>
      <c r="E7" s="15" t="s">
        <v>103</v>
      </c>
      <c r="F7" s="15">
        <v>2945</v>
      </c>
      <c r="G7" s="15">
        <v>930</v>
      </c>
      <c r="H7" s="15">
        <v>355</v>
      </c>
      <c r="I7" s="15">
        <v>23560</v>
      </c>
      <c r="J7" s="90">
        <v>23275</v>
      </c>
      <c r="K7" s="90">
        <v>256</v>
      </c>
      <c r="L7" s="90" t="s">
        <v>88</v>
      </c>
      <c r="M7" s="90" t="s">
        <v>104</v>
      </c>
      <c r="N7" s="90" t="s">
        <v>666</v>
      </c>
      <c r="O7" s="91">
        <f>(SUM(Table1[[#This Row],[Likes]],Table1[[#This Row],[Shares]],Table1[[#This Row],[Comments]])/Table1[[#This Row],[Impressions]] )</f>
        <v>0.17954159592529711</v>
      </c>
      <c r="P7" s="90" t="s">
        <v>104</v>
      </c>
      <c r="Q7" s="90">
        <f t="shared" si="0"/>
        <v>1541</v>
      </c>
    </row>
    <row r="8" spans="1:17" ht="14.25" customHeight="1" x14ac:dyDescent="0.3">
      <c r="A8" s="15" t="s">
        <v>105</v>
      </c>
      <c r="B8" s="15" t="s">
        <v>3</v>
      </c>
      <c r="C8" s="48" t="s">
        <v>106</v>
      </c>
      <c r="D8" s="15" t="s">
        <v>102</v>
      </c>
      <c r="E8" s="15" t="s">
        <v>103</v>
      </c>
      <c r="F8" s="15">
        <v>3860</v>
      </c>
      <c r="G8" s="15">
        <v>201</v>
      </c>
      <c r="H8" s="15">
        <v>279</v>
      </c>
      <c r="I8" s="15">
        <v>61760</v>
      </c>
      <c r="J8" s="90">
        <v>61660</v>
      </c>
      <c r="K8" s="90">
        <v>235</v>
      </c>
      <c r="L8" s="90" t="s">
        <v>99</v>
      </c>
      <c r="M8" s="90" t="s">
        <v>104</v>
      </c>
      <c r="N8" s="90" t="s">
        <v>666</v>
      </c>
      <c r="O8" s="91">
        <f>(SUM(Table1[[#This Row],[Likes]],Table1[[#This Row],[Shares]],Table1[[#This Row],[Comments]])/Table1[[#This Row],[Impressions]] )</f>
        <v>7.0272020725388601E-2</v>
      </c>
      <c r="P8" s="90" t="s">
        <v>104</v>
      </c>
      <c r="Q8" s="90">
        <f t="shared" si="0"/>
        <v>715</v>
      </c>
    </row>
    <row r="9" spans="1:17" ht="14.25" customHeight="1" x14ac:dyDescent="0.3">
      <c r="A9" s="15" t="s">
        <v>107</v>
      </c>
      <c r="B9" s="15" t="s">
        <v>4</v>
      </c>
      <c r="C9" s="48" t="s">
        <v>108</v>
      </c>
      <c r="D9" s="15" t="s">
        <v>109</v>
      </c>
      <c r="E9" s="15" t="s">
        <v>110</v>
      </c>
      <c r="F9" s="15">
        <v>3929</v>
      </c>
      <c r="G9" s="15">
        <v>262</v>
      </c>
      <c r="H9" s="15">
        <v>278</v>
      </c>
      <c r="I9" s="15">
        <v>43219</v>
      </c>
      <c r="J9" s="90">
        <v>42841</v>
      </c>
      <c r="K9" s="90">
        <v>39</v>
      </c>
      <c r="L9" s="90" t="s">
        <v>99</v>
      </c>
      <c r="M9" s="90" t="s">
        <v>87</v>
      </c>
      <c r="N9" s="90" t="s">
        <v>81</v>
      </c>
      <c r="O9" s="91">
        <f>(SUM(Table1[[#This Row],[Likes]],Table1[[#This Row],[Shares]],Table1[[#This Row],[Comments]])/Table1[[#This Row],[Impressions]] )</f>
        <v>0.10340359564080613</v>
      </c>
      <c r="P9" s="90" t="s">
        <v>91</v>
      </c>
      <c r="Q9" s="90">
        <f t="shared" si="0"/>
        <v>579</v>
      </c>
    </row>
    <row r="10" spans="1:17" ht="14.25" customHeight="1" x14ac:dyDescent="0.3">
      <c r="A10" s="15" t="s">
        <v>111</v>
      </c>
      <c r="B10" s="15" t="s">
        <v>1</v>
      </c>
      <c r="C10" s="48" t="s">
        <v>112</v>
      </c>
      <c r="D10" s="15" t="s">
        <v>85</v>
      </c>
      <c r="E10" s="15" t="s">
        <v>86</v>
      </c>
      <c r="F10" s="15">
        <v>3784</v>
      </c>
      <c r="G10" s="15">
        <v>808</v>
      </c>
      <c r="H10" s="15">
        <v>404</v>
      </c>
      <c r="I10" s="15">
        <v>56760</v>
      </c>
      <c r="J10" s="90">
        <v>56343</v>
      </c>
      <c r="K10" s="90">
        <v>131</v>
      </c>
      <c r="L10" s="90" t="s">
        <v>99</v>
      </c>
      <c r="M10" s="90" t="s">
        <v>87</v>
      </c>
      <c r="N10" s="90" t="s">
        <v>81</v>
      </c>
      <c r="O10" s="91">
        <f>(SUM(Table1[[#This Row],[Likes]],Table1[[#This Row],[Shares]],Table1[[#This Row],[Comments]])/Table1[[#This Row],[Impressions]] )</f>
        <v>8.8019732205778717E-2</v>
      </c>
      <c r="P10" s="90" t="s">
        <v>91</v>
      </c>
      <c r="Q10" s="90">
        <f t="shared" si="0"/>
        <v>1343</v>
      </c>
    </row>
    <row r="11" spans="1:17" ht="14.25" customHeight="1" x14ac:dyDescent="0.3">
      <c r="A11" s="15" t="s">
        <v>113</v>
      </c>
      <c r="B11" s="15" t="s">
        <v>1</v>
      </c>
      <c r="C11" s="48" t="s">
        <v>114</v>
      </c>
      <c r="D11" s="15" t="s">
        <v>109</v>
      </c>
      <c r="E11" s="15" t="s">
        <v>110</v>
      </c>
      <c r="F11" s="15">
        <v>4241</v>
      </c>
      <c r="G11" s="15">
        <v>902</v>
      </c>
      <c r="H11" s="15">
        <v>47</v>
      </c>
      <c r="I11" s="15">
        <v>72097</v>
      </c>
      <c r="J11" s="90">
        <v>71598</v>
      </c>
      <c r="K11" s="90">
        <v>167</v>
      </c>
      <c r="L11" s="90" t="s">
        <v>115</v>
      </c>
      <c r="M11" s="90" t="s">
        <v>104</v>
      </c>
      <c r="N11" s="90" t="s">
        <v>666</v>
      </c>
      <c r="O11" s="91">
        <f>(SUM(Table1[[#This Row],[Likes]],Table1[[#This Row],[Shares]],Table1[[#This Row],[Comments]])/Table1[[#This Row],[Impressions]] )</f>
        <v>7.198635172059864E-2</v>
      </c>
      <c r="P11" s="90" t="s">
        <v>104</v>
      </c>
      <c r="Q11" s="90">
        <f t="shared" si="0"/>
        <v>1116</v>
      </c>
    </row>
    <row r="12" spans="1:17" ht="14.25" customHeight="1" x14ac:dyDescent="0.3">
      <c r="A12" s="15" t="s">
        <v>116</v>
      </c>
      <c r="B12" s="15" t="s">
        <v>2</v>
      </c>
      <c r="C12" s="48" t="s">
        <v>117</v>
      </c>
      <c r="D12" s="15" t="s">
        <v>94</v>
      </c>
      <c r="E12" s="15" t="s">
        <v>95</v>
      </c>
      <c r="F12" s="15">
        <v>1792</v>
      </c>
      <c r="G12" s="15">
        <v>614</v>
      </c>
      <c r="H12" s="15">
        <v>497</v>
      </c>
      <c r="I12" s="15">
        <v>25088</v>
      </c>
      <c r="J12" s="90">
        <v>24675</v>
      </c>
      <c r="K12" s="90">
        <v>65</v>
      </c>
      <c r="L12" s="90" t="s">
        <v>82</v>
      </c>
      <c r="M12" s="90" t="s">
        <v>118</v>
      </c>
      <c r="N12" s="90" t="s">
        <v>666</v>
      </c>
      <c r="O12" s="91">
        <f>(SUM(Table1[[#This Row],[Likes]],Table1[[#This Row],[Shares]],Table1[[#This Row],[Comments]])/Table1[[#This Row],[Impressions]] )</f>
        <v>0.11571269132653061</v>
      </c>
      <c r="P12" s="90" t="s">
        <v>118</v>
      </c>
      <c r="Q12" s="90">
        <f t="shared" si="0"/>
        <v>1176</v>
      </c>
    </row>
    <row r="13" spans="1:17" ht="14.25" customHeight="1" x14ac:dyDescent="0.3">
      <c r="A13" s="15" t="s">
        <v>119</v>
      </c>
      <c r="B13" s="15" t="s">
        <v>1</v>
      </c>
      <c r="C13" s="48" t="s">
        <v>120</v>
      </c>
      <c r="D13" s="15" t="s">
        <v>79</v>
      </c>
      <c r="E13" s="15" t="s">
        <v>80</v>
      </c>
      <c r="F13" s="15">
        <v>1946</v>
      </c>
      <c r="G13" s="15">
        <v>686</v>
      </c>
      <c r="H13" s="15">
        <v>377</v>
      </c>
      <c r="I13" s="15">
        <v>23352</v>
      </c>
      <c r="J13" s="90">
        <v>22982</v>
      </c>
      <c r="K13" s="90">
        <v>213</v>
      </c>
      <c r="L13" s="90" t="s">
        <v>99</v>
      </c>
      <c r="M13" s="90" t="s">
        <v>118</v>
      </c>
      <c r="N13" s="90" t="s">
        <v>81</v>
      </c>
      <c r="O13" s="91">
        <f>(SUM(Table1[[#This Row],[Likes]],Table1[[#This Row],[Shares]],Table1[[#This Row],[Comments]])/Table1[[#This Row],[Impressions]] )</f>
        <v>0.12885405960945528</v>
      </c>
      <c r="P13" s="90" t="s">
        <v>121</v>
      </c>
      <c r="Q13" s="90">
        <f t="shared" si="0"/>
        <v>1276</v>
      </c>
    </row>
    <row r="14" spans="1:17" ht="14.25" customHeight="1" x14ac:dyDescent="0.3">
      <c r="A14" s="15" t="s">
        <v>122</v>
      </c>
      <c r="B14" s="15" t="s">
        <v>4</v>
      </c>
      <c r="C14" s="48" t="s">
        <v>123</v>
      </c>
      <c r="D14" s="15" t="s">
        <v>102</v>
      </c>
      <c r="E14" s="15" t="s">
        <v>103</v>
      </c>
      <c r="F14" s="15">
        <v>1171</v>
      </c>
      <c r="G14" s="15">
        <v>286</v>
      </c>
      <c r="H14" s="15">
        <v>231</v>
      </c>
      <c r="I14" s="15">
        <v>22249</v>
      </c>
      <c r="J14" s="90">
        <v>21282</v>
      </c>
      <c r="K14" s="90">
        <v>114</v>
      </c>
      <c r="L14" s="90" t="s">
        <v>115</v>
      </c>
      <c r="M14" s="90" t="s">
        <v>87</v>
      </c>
      <c r="N14" s="90" t="s">
        <v>666</v>
      </c>
      <c r="O14" s="91">
        <f>(SUM(Table1[[#This Row],[Likes]],Table1[[#This Row],[Shares]],Table1[[#This Row],[Comments]])/Table1[[#This Row],[Impressions]] )</f>
        <v>7.5868578363072495E-2</v>
      </c>
      <c r="P14" s="90" t="s">
        <v>87</v>
      </c>
      <c r="Q14" s="90">
        <f t="shared" si="0"/>
        <v>631</v>
      </c>
    </row>
    <row r="15" spans="1:17" ht="14.25" customHeight="1" x14ac:dyDescent="0.3">
      <c r="A15" s="15" t="s">
        <v>124</v>
      </c>
      <c r="B15" s="15" t="s">
        <v>1</v>
      </c>
      <c r="C15" s="48" t="s">
        <v>125</v>
      </c>
      <c r="D15" s="15" t="s">
        <v>94</v>
      </c>
      <c r="E15" s="15" t="s">
        <v>95</v>
      </c>
      <c r="F15" s="15">
        <v>4242</v>
      </c>
      <c r="G15" s="15">
        <v>555</v>
      </c>
      <c r="H15" s="15">
        <v>131</v>
      </c>
      <c r="I15" s="15">
        <v>33936</v>
      </c>
      <c r="J15" s="90">
        <v>33802</v>
      </c>
      <c r="K15" s="90">
        <v>265</v>
      </c>
      <c r="L15" s="90" t="s">
        <v>99</v>
      </c>
      <c r="M15" s="90" t="s">
        <v>81</v>
      </c>
      <c r="N15" s="90" t="s">
        <v>87</v>
      </c>
      <c r="O15" s="91">
        <f>(SUM(Table1[[#This Row],[Likes]],Table1[[#This Row],[Shares]],Table1[[#This Row],[Comments]])/Table1[[#This Row],[Impressions]] )</f>
        <v>0.14521452145214522</v>
      </c>
      <c r="P15" s="90" t="s">
        <v>126</v>
      </c>
      <c r="Q15" s="90">
        <f t="shared" si="0"/>
        <v>951</v>
      </c>
    </row>
    <row r="16" spans="1:17" ht="14.25" customHeight="1" x14ac:dyDescent="0.3">
      <c r="A16" s="15" t="s">
        <v>127</v>
      </c>
      <c r="B16" s="15" t="s">
        <v>1</v>
      </c>
      <c r="C16" s="48" t="s">
        <v>128</v>
      </c>
      <c r="D16" s="15" t="s">
        <v>129</v>
      </c>
      <c r="E16" s="15" t="s">
        <v>130</v>
      </c>
      <c r="F16" s="15">
        <v>3888</v>
      </c>
      <c r="G16" s="15">
        <v>604</v>
      </c>
      <c r="H16" s="15">
        <v>128</v>
      </c>
      <c r="I16" s="15">
        <v>77760</v>
      </c>
      <c r="J16" s="90">
        <v>77167</v>
      </c>
      <c r="K16" s="90">
        <v>20</v>
      </c>
      <c r="L16" s="90" t="s">
        <v>82</v>
      </c>
      <c r="M16" s="90" t="s">
        <v>87</v>
      </c>
      <c r="N16" s="90" t="s">
        <v>137</v>
      </c>
      <c r="O16" s="91">
        <f>(SUM(Table1[[#This Row],[Likes]],Table1[[#This Row],[Shares]],Table1[[#This Row],[Comments]])/Table1[[#This Row],[Impressions]] )</f>
        <v>5.941358024691358E-2</v>
      </c>
      <c r="P16" s="90" t="s">
        <v>131</v>
      </c>
      <c r="Q16" s="90">
        <f t="shared" si="0"/>
        <v>752</v>
      </c>
    </row>
    <row r="17" spans="1:17" ht="14.25" customHeight="1" x14ac:dyDescent="0.3">
      <c r="A17" s="15" t="s">
        <v>132</v>
      </c>
      <c r="B17" s="15" t="s">
        <v>1</v>
      </c>
      <c r="C17" s="48" t="s">
        <v>133</v>
      </c>
      <c r="D17" s="15" t="s">
        <v>85</v>
      </c>
      <c r="E17" s="15" t="s">
        <v>86</v>
      </c>
      <c r="F17" s="15">
        <v>3452</v>
      </c>
      <c r="G17" s="15">
        <v>377</v>
      </c>
      <c r="H17" s="15">
        <v>360</v>
      </c>
      <c r="I17" s="15">
        <v>55232</v>
      </c>
      <c r="J17" s="90">
        <v>55075</v>
      </c>
      <c r="K17" s="90">
        <v>87</v>
      </c>
      <c r="L17" s="90" t="s">
        <v>99</v>
      </c>
      <c r="M17" s="90" t="s">
        <v>81</v>
      </c>
      <c r="N17" s="90" t="s">
        <v>137</v>
      </c>
      <c r="O17" s="91">
        <f>(SUM(Table1[[#This Row],[Likes]],Table1[[#This Row],[Shares]],Table1[[#This Row],[Comments]])/Table1[[#This Row],[Impressions]] )</f>
        <v>7.5843713789107758E-2</v>
      </c>
      <c r="P17" s="90" t="s">
        <v>134</v>
      </c>
      <c r="Q17" s="90">
        <f t="shared" si="0"/>
        <v>824</v>
      </c>
    </row>
    <row r="18" spans="1:17" ht="14.25" customHeight="1" x14ac:dyDescent="0.3">
      <c r="A18" s="15" t="s">
        <v>135</v>
      </c>
      <c r="B18" s="15" t="s">
        <v>1</v>
      </c>
      <c r="C18" s="48" t="s">
        <v>136</v>
      </c>
      <c r="D18" s="15" t="s">
        <v>85</v>
      </c>
      <c r="E18" s="15" t="s">
        <v>86</v>
      </c>
      <c r="F18" s="15">
        <v>4441</v>
      </c>
      <c r="G18" s="15">
        <v>511</v>
      </c>
      <c r="H18" s="15">
        <v>70</v>
      </c>
      <c r="I18" s="15">
        <v>53292</v>
      </c>
      <c r="J18" s="90">
        <v>53082</v>
      </c>
      <c r="K18" s="90">
        <v>159</v>
      </c>
      <c r="L18" s="90" t="s">
        <v>99</v>
      </c>
      <c r="M18" s="90" t="s">
        <v>137</v>
      </c>
      <c r="N18" s="90" t="s">
        <v>666</v>
      </c>
      <c r="O18" s="91">
        <f>(SUM(Table1[[#This Row],[Likes]],Table1[[#This Row],[Shares]],Table1[[#This Row],[Comments]])/Table1[[#This Row],[Impressions]] )</f>
        <v>9.4235532537716729E-2</v>
      </c>
      <c r="P18" s="90" t="s">
        <v>137</v>
      </c>
      <c r="Q18" s="90">
        <f t="shared" si="0"/>
        <v>740</v>
      </c>
    </row>
    <row r="19" spans="1:17" ht="14.25" customHeight="1" x14ac:dyDescent="0.3">
      <c r="A19" s="15" t="s">
        <v>138</v>
      </c>
      <c r="B19" s="15" t="s">
        <v>2</v>
      </c>
      <c r="C19" s="48" t="s">
        <v>139</v>
      </c>
      <c r="D19" s="15" t="s">
        <v>79</v>
      </c>
      <c r="E19" s="15" t="s">
        <v>80</v>
      </c>
      <c r="F19" s="15">
        <v>3000</v>
      </c>
      <c r="G19" s="15">
        <v>382</v>
      </c>
      <c r="H19" s="15">
        <v>325</v>
      </c>
      <c r="I19" s="15">
        <v>36000</v>
      </c>
      <c r="J19" s="90">
        <v>35819</v>
      </c>
      <c r="K19" s="90">
        <v>19</v>
      </c>
      <c r="L19" s="90" t="s">
        <v>88</v>
      </c>
      <c r="M19" s="90" t="s">
        <v>118</v>
      </c>
      <c r="N19" s="90" t="s">
        <v>666</v>
      </c>
      <c r="O19" s="91">
        <f>(SUM(Table1[[#This Row],[Likes]],Table1[[#This Row],[Shares]],Table1[[#This Row],[Comments]])/Table1[[#This Row],[Impressions]] )</f>
        <v>0.10297222222222223</v>
      </c>
      <c r="P19" s="90" t="s">
        <v>118</v>
      </c>
      <c r="Q19" s="90">
        <f t="shared" si="0"/>
        <v>726</v>
      </c>
    </row>
    <row r="20" spans="1:17" ht="14.25" customHeight="1" x14ac:dyDescent="0.3">
      <c r="A20" s="15" t="s">
        <v>140</v>
      </c>
      <c r="B20" s="15" t="s">
        <v>2</v>
      </c>
      <c r="C20" s="48" t="s">
        <v>141</v>
      </c>
      <c r="D20" s="15" t="s">
        <v>129</v>
      </c>
      <c r="E20" s="15" t="s">
        <v>130</v>
      </c>
      <c r="F20" s="15">
        <v>1071</v>
      </c>
      <c r="G20" s="15">
        <v>519</v>
      </c>
      <c r="H20" s="15">
        <v>22</v>
      </c>
      <c r="I20" s="15">
        <v>16065</v>
      </c>
      <c r="J20" s="90">
        <v>15865</v>
      </c>
      <c r="K20" s="90">
        <v>103</v>
      </c>
      <c r="L20" s="90" t="s">
        <v>99</v>
      </c>
      <c r="M20" s="90" t="s">
        <v>81</v>
      </c>
      <c r="N20" s="90" t="s">
        <v>118</v>
      </c>
      <c r="O20" s="91">
        <f>(SUM(Table1[[#This Row],[Likes]],Table1[[#This Row],[Shares]],Table1[[#This Row],[Comments]])/Table1[[#This Row],[Impressions]] )</f>
        <v>0.10034235916588857</v>
      </c>
      <c r="P20" s="90" t="s">
        <v>142</v>
      </c>
      <c r="Q20" s="90">
        <f t="shared" si="0"/>
        <v>644</v>
      </c>
    </row>
    <row r="21" spans="1:17" ht="14.25" customHeight="1" x14ac:dyDescent="0.3">
      <c r="A21" s="15" t="s">
        <v>143</v>
      </c>
      <c r="B21" s="15" t="s">
        <v>2</v>
      </c>
      <c r="C21" s="48" t="s">
        <v>144</v>
      </c>
      <c r="D21" s="15" t="s">
        <v>102</v>
      </c>
      <c r="E21" s="15" t="s">
        <v>103</v>
      </c>
      <c r="F21" s="15">
        <v>4054</v>
      </c>
      <c r="G21" s="15">
        <v>488</v>
      </c>
      <c r="H21" s="15">
        <v>373</v>
      </c>
      <c r="I21" s="15">
        <v>77026</v>
      </c>
      <c r="J21" s="90">
        <v>76881</v>
      </c>
      <c r="K21" s="90">
        <v>25</v>
      </c>
      <c r="L21" s="90" t="s">
        <v>99</v>
      </c>
      <c r="M21" s="90" t="s">
        <v>87</v>
      </c>
      <c r="N21" s="90" t="s">
        <v>81</v>
      </c>
      <c r="O21" s="91">
        <f>(SUM(Table1[[#This Row],[Likes]],Table1[[#This Row],[Shares]],Table1[[#This Row],[Comments]])/Table1[[#This Row],[Impressions]] )</f>
        <v>6.3809622724794221E-2</v>
      </c>
      <c r="P21" s="90" t="s">
        <v>91</v>
      </c>
      <c r="Q21" s="90">
        <f t="shared" si="0"/>
        <v>886</v>
      </c>
    </row>
    <row r="22" spans="1:17" ht="14.25" customHeight="1" x14ac:dyDescent="0.3">
      <c r="A22" s="15" t="s">
        <v>145</v>
      </c>
      <c r="B22" s="15" t="s">
        <v>2</v>
      </c>
      <c r="C22" s="48" t="s">
        <v>146</v>
      </c>
      <c r="D22" s="15" t="s">
        <v>79</v>
      </c>
      <c r="E22" s="15" t="s">
        <v>80</v>
      </c>
      <c r="F22" s="15">
        <v>4838</v>
      </c>
      <c r="G22" s="15">
        <v>640</v>
      </c>
      <c r="H22" s="15">
        <v>128</v>
      </c>
      <c r="I22" s="15">
        <v>72570</v>
      </c>
      <c r="J22" s="90">
        <v>72396</v>
      </c>
      <c r="K22" s="90">
        <v>83</v>
      </c>
      <c r="L22" s="90" t="s">
        <v>99</v>
      </c>
      <c r="M22" s="90" t="s">
        <v>118</v>
      </c>
      <c r="N22" s="90" t="s">
        <v>104</v>
      </c>
      <c r="O22" s="91">
        <f>(SUM(Table1[[#This Row],[Likes]],Table1[[#This Row],[Shares]],Table1[[#This Row],[Comments]])/Table1[[#This Row],[Impressions]] )</f>
        <v>7.7249552156538517E-2</v>
      </c>
      <c r="P22" s="90" t="s">
        <v>147</v>
      </c>
      <c r="Q22" s="90">
        <f t="shared" si="0"/>
        <v>851</v>
      </c>
    </row>
    <row r="23" spans="1:17" ht="14.25" customHeight="1" x14ac:dyDescent="0.3">
      <c r="A23" s="15" t="s">
        <v>148</v>
      </c>
      <c r="B23" s="15" t="s">
        <v>1</v>
      </c>
      <c r="C23" s="48" t="s">
        <v>149</v>
      </c>
      <c r="D23" s="15" t="s">
        <v>85</v>
      </c>
      <c r="E23" s="15" t="s">
        <v>86</v>
      </c>
      <c r="F23" s="15">
        <v>1570</v>
      </c>
      <c r="G23" s="15">
        <v>187</v>
      </c>
      <c r="H23" s="15">
        <v>260</v>
      </c>
      <c r="I23" s="15">
        <v>25120</v>
      </c>
      <c r="J23" s="90">
        <v>24613</v>
      </c>
      <c r="K23" s="90">
        <v>133</v>
      </c>
      <c r="L23" s="90" t="s">
        <v>115</v>
      </c>
      <c r="M23" s="90" t="s">
        <v>81</v>
      </c>
      <c r="N23" s="90" t="s">
        <v>666</v>
      </c>
      <c r="O23" s="91">
        <f>(SUM(Table1[[#This Row],[Likes]],Table1[[#This Row],[Shares]],Table1[[#This Row],[Comments]])/Table1[[#This Row],[Impressions]] )</f>
        <v>8.0294585987261149E-2</v>
      </c>
      <c r="P23" s="90" t="s">
        <v>81</v>
      </c>
      <c r="Q23" s="90">
        <f t="shared" si="0"/>
        <v>580</v>
      </c>
    </row>
    <row r="24" spans="1:17" ht="14.25" customHeight="1" x14ac:dyDescent="0.3">
      <c r="A24" s="15" t="s">
        <v>150</v>
      </c>
      <c r="B24" s="15" t="s">
        <v>1</v>
      </c>
      <c r="C24" s="48" t="s">
        <v>151</v>
      </c>
      <c r="D24" s="15" t="s">
        <v>129</v>
      </c>
      <c r="E24" s="15" t="s">
        <v>130</v>
      </c>
      <c r="F24" s="15">
        <v>1606</v>
      </c>
      <c r="G24" s="15">
        <v>547</v>
      </c>
      <c r="H24" s="15">
        <v>316</v>
      </c>
      <c r="I24" s="15">
        <v>32120</v>
      </c>
      <c r="J24" s="90">
        <v>31736</v>
      </c>
      <c r="K24" s="90">
        <v>225</v>
      </c>
      <c r="L24" s="90" t="s">
        <v>99</v>
      </c>
      <c r="M24" s="90" t="s">
        <v>81</v>
      </c>
      <c r="N24" s="90" t="s">
        <v>666</v>
      </c>
      <c r="O24" s="91">
        <f>(SUM(Table1[[#This Row],[Likes]],Table1[[#This Row],[Shares]],Table1[[#This Row],[Comments]])/Table1[[#This Row],[Impressions]] )</f>
        <v>7.6867995018679955E-2</v>
      </c>
      <c r="P24" s="90" t="s">
        <v>81</v>
      </c>
      <c r="Q24" s="90">
        <f t="shared" si="0"/>
        <v>1088</v>
      </c>
    </row>
    <row r="25" spans="1:17" ht="14.25" customHeight="1" x14ac:dyDescent="0.3">
      <c r="A25" s="15" t="s">
        <v>152</v>
      </c>
      <c r="B25" s="15" t="s">
        <v>1</v>
      </c>
      <c r="C25" s="48" t="s">
        <v>153</v>
      </c>
      <c r="D25" s="15" t="s">
        <v>129</v>
      </c>
      <c r="E25" s="15" t="s">
        <v>130</v>
      </c>
      <c r="F25" s="15">
        <v>3961</v>
      </c>
      <c r="G25" s="15">
        <v>761</v>
      </c>
      <c r="H25" s="15">
        <v>131</v>
      </c>
      <c r="I25" s="15">
        <v>67337</v>
      </c>
      <c r="J25" s="90">
        <v>66615</v>
      </c>
      <c r="K25" s="90">
        <v>161</v>
      </c>
      <c r="L25" s="90" t="s">
        <v>88</v>
      </c>
      <c r="M25" s="90" t="s">
        <v>104</v>
      </c>
      <c r="N25" s="90" t="s">
        <v>666</v>
      </c>
      <c r="O25" s="91">
        <f>(SUM(Table1[[#This Row],[Likes]],Table1[[#This Row],[Shares]],Table1[[#This Row],[Comments]])/Table1[[#This Row],[Impressions]] )</f>
        <v>7.2070332803659209E-2</v>
      </c>
      <c r="P25" s="90" t="s">
        <v>104</v>
      </c>
      <c r="Q25" s="90">
        <f t="shared" si="0"/>
        <v>1053</v>
      </c>
    </row>
    <row r="26" spans="1:17" ht="14.25" customHeight="1" x14ac:dyDescent="0.3">
      <c r="A26" s="15" t="s">
        <v>154</v>
      </c>
      <c r="B26" s="15" t="s">
        <v>3</v>
      </c>
      <c r="C26" s="48" t="s">
        <v>155</v>
      </c>
      <c r="D26" s="15" t="s">
        <v>102</v>
      </c>
      <c r="E26" s="15" t="s">
        <v>103</v>
      </c>
      <c r="F26" s="15">
        <v>3128</v>
      </c>
      <c r="G26" s="15">
        <v>211</v>
      </c>
      <c r="H26" s="15">
        <v>197</v>
      </c>
      <c r="I26" s="15">
        <v>59432</v>
      </c>
      <c r="J26" s="90">
        <v>59182</v>
      </c>
      <c r="K26" s="90">
        <v>238</v>
      </c>
      <c r="L26" s="90" t="s">
        <v>82</v>
      </c>
      <c r="M26" s="90" t="s">
        <v>118</v>
      </c>
      <c r="N26" s="90" t="s">
        <v>81</v>
      </c>
      <c r="O26" s="91">
        <f>(SUM(Table1[[#This Row],[Likes]],Table1[[#This Row],[Shares]],Table1[[#This Row],[Comments]])/Table1[[#This Row],[Impressions]] )</f>
        <v>5.9496567505720827E-2</v>
      </c>
      <c r="P26" s="90" t="s">
        <v>121</v>
      </c>
      <c r="Q26" s="90">
        <f t="shared" si="0"/>
        <v>646</v>
      </c>
    </row>
    <row r="27" spans="1:17" ht="14.25" customHeight="1" x14ac:dyDescent="0.3">
      <c r="A27" s="15" t="s">
        <v>156</v>
      </c>
      <c r="B27" s="15" t="s">
        <v>4</v>
      </c>
      <c r="C27" s="48" t="s">
        <v>157</v>
      </c>
      <c r="D27" s="15" t="s">
        <v>79</v>
      </c>
      <c r="E27" s="15" t="s">
        <v>80</v>
      </c>
      <c r="F27" s="15">
        <v>3009</v>
      </c>
      <c r="G27" s="15">
        <v>413</v>
      </c>
      <c r="H27" s="15">
        <v>358</v>
      </c>
      <c r="I27" s="15">
        <v>42126</v>
      </c>
      <c r="J27" s="90">
        <v>41309</v>
      </c>
      <c r="K27" s="90">
        <v>211</v>
      </c>
      <c r="L27" s="90" t="s">
        <v>88</v>
      </c>
      <c r="M27" s="90" t="s">
        <v>81</v>
      </c>
      <c r="N27" s="90" t="s">
        <v>666</v>
      </c>
      <c r="O27" s="91">
        <f>(SUM(Table1[[#This Row],[Likes]],Table1[[#This Row],[Shares]],Table1[[#This Row],[Comments]])/Table1[[#This Row],[Impressions]] )</f>
        <v>8.9730807577268201E-2</v>
      </c>
      <c r="P27" s="90" t="s">
        <v>81</v>
      </c>
      <c r="Q27" s="90">
        <f t="shared" si="0"/>
        <v>982</v>
      </c>
    </row>
    <row r="28" spans="1:17" ht="14.25" customHeight="1" x14ac:dyDescent="0.3">
      <c r="A28" s="15" t="s">
        <v>158</v>
      </c>
      <c r="B28" s="15" t="s">
        <v>4</v>
      </c>
      <c r="C28" s="48" t="s">
        <v>159</v>
      </c>
      <c r="D28" s="15" t="s">
        <v>85</v>
      </c>
      <c r="E28" s="15" t="s">
        <v>86</v>
      </c>
      <c r="F28" s="15">
        <v>2076</v>
      </c>
      <c r="G28" s="15">
        <v>195</v>
      </c>
      <c r="H28" s="15">
        <v>104</v>
      </c>
      <c r="I28" s="15">
        <v>33216</v>
      </c>
      <c r="J28" s="90">
        <v>32244</v>
      </c>
      <c r="K28" s="90">
        <v>51</v>
      </c>
      <c r="L28" s="90" t="s">
        <v>115</v>
      </c>
      <c r="M28" s="90" t="s">
        <v>104</v>
      </c>
      <c r="N28" s="90" t="s">
        <v>666</v>
      </c>
      <c r="O28" s="91">
        <f>(SUM(Table1[[#This Row],[Likes]],Table1[[#This Row],[Shares]],Table1[[#This Row],[Comments]])/Table1[[#This Row],[Impressions]] )</f>
        <v>7.1501685934489398E-2</v>
      </c>
      <c r="P28" s="90" t="s">
        <v>104</v>
      </c>
      <c r="Q28" s="90">
        <f t="shared" si="0"/>
        <v>350</v>
      </c>
    </row>
    <row r="29" spans="1:17" ht="14.25" customHeight="1" x14ac:dyDescent="0.3">
      <c r="A29" s="15" t="s">
        <v>160</v>
      </c>
      <c r="B29" s="15" t="s">
        <v>2</v>
      </c>
      <c r="C29" s="48" t="s">
        <v>161</v>
      </c>
      <c r="D29" s="15" t="s">
        <v>129</v>
      </c>
      <c r="E29" s="15" t="s">
        <v>130</v>
      </c>
      <c r="F29" s="15">
        <v>432</v>
      </c>
      <c r="G29" s="15">
        <v>624</v>
      </c>
      <c r="H29" s="15">
        <v>123</v>
      </c>
      <c r="I29" s="15">
        <v>6912</v>
      </c>
      <c r="J29" s="90">
        <v>6259</v>
      </c>
      <c r="K29" s="90">
        <v>79</v>
      </c>
      <c r="L29" s="90" t="s">
        <v>88</v>
      </c>
      <c r="M29" s="90" t="s">
        <v>81</v>
      </c>
      <c r="N29" s="90" t="s">
        <v>104</v>
      </c>
      <c r="O29" s="91">
        <f>(SUM(Table1[[#This Row],[Likes]],Table1[[#This Row],[Shares]],Table1[[#This Row],[Comments]])/Table1[[#This Row],[Impressions]] )</f>
        <v>0.17057291666666666</v>
      </c>
      <c r="P29" s="90" t="s">
        <v>162</v>
      </c>
      <c r="Q29" s="90">
        <f t="shared" si="0"/>
        <v>826</v>
      </c>
    </row>
    <row r="30" spans="1:17" ht="14.25" customHeight="1" x14ac:dyDescent="0.3">
      <c r="A30" s="15" t="s">
        <v>163</v>
      </c>
      <c r="B30" s="15" t="s">
        <v>2</v>
      </c>
      <c r="C30" s="48" t="s">
        <v>164</v>
      </c>
      <c r="D30" s="15" t="s">
        <v>102</v>
      </c>
      <c r="E30" s="15" t="s">
        <v>103</v>
      </c>
      <c r="F30" s="15">
        <v>2566</v>
      </c>
      <c r="G30" s="15">
        <v>118</v>
      </c>
      <c r="H30" s="15">
        <v>37</v>
      </c>
      <c r="I30" s="15">
        <v>12830</v>
      </c>
      <c r="J30" s="90">
        <v>12264</v>
      </c>
      <c r="K30" s="90">
        <v>221</v>
      </c>
      <c r="L30" s="90" t="s">
        <v>99</v>
      </c>
      <c r="M30" s="90" t="s">
        <v>104</v>
      </c>
      <c r="N30" s="90" t="s">
        <v>87</v>
      </c>
      <c r="O30" s="91">
        <f>(SUM(Table1[[#This Row],[Likes]],Table1[[#This Row],[Shares]],Table1[[#This Row],[Comments]])/Table1[[#This Row],[Impressions]] )</f>
        <v>0.21208106001558846</v>
      </c>
      <c r="P30" s="90" t="s">
        <v>165</v>
      </c>
      <c r="Q30" s="90">
        <f t="shared" si="0"/>
        <v>376</v>
      </c>
    </row>
    <row r="31" spans="1:17" ht="14.25" customHeight="1" x14ac:dyDescent="0.3">
      <c r="A31" s="15" t="s">
        <v>166</v>
      </c>
      <c r="B31" s="15" t="s">
        <v>2</v>
      </c>
      <c r="C31" s="48" t="s">
        <v>167</v>
      </c>
      <c r="D31" s="15" t="s">
        <v>129</v>
      </c>
      <c r="E31" s="15" t="s">
        <v>130</v>
      </c>
      <c r="F31" s="15">
        <v>3095</v>
      </c>
      <c r="G31" s="15">
        <v>39</v>
      </c>
      <c r="H31" s="15">
        <v>78</v>
      </c>
      <c r="I31" s="15">
        <v>55710</v>
      </c>
      <c r="J31" s="90">
        <v>54808</v>
      </c>
      <c r="K31" s="90">
        <v>93</v>
      </c>
      <c r="L31" s="90" t="s">
        <v>115</v>
      </c>
      <c r="M31" s="90" t="s">
        <v>81</v>
      </c>
      <c r="N31" s="90" t="s">
        <v>666</v>
      </c>
      <c r="O31" s="91">
        <f>(SUM(Table1[[#This Row],[Likes]],Table1[[#This Row],[Shares]],Table1[[#This Row],[Comments]])/Table1[[#This Row],[Impressions]] )</f>
        <v>5.7655717106444085E-2</v>
      </c>
      <c r="P31" s="90" t="s">
        <v>81</v>
      </c>
      <c r="Q31" s="90">
        <f t="shared" si="0"/>
        <v>210</v>
      </c>
    </row>
    <row r="32" spans="1:17" ht="14.25" customHeight="1" x14ac:dyDescent="0.3">
      <c r="A32" s="15" t="s">
        <v>168</v>
      </c>
      <c r="B32" s="15" t="s">
        <v>2</v>
      </c>
      <c r="C32" s="48" t="s">
        <v>169</v>
      </c>
      <c r="D32" s="15" t="s">
        <v>85</v>
      </c>
      <c r="E32" s="15" t="s">
        <v>86</v>
      </c>
      <c r="F32" s="15">
        <v>438</v>
      </c>
      <c r="G32" s="15">
        <v>153</v>
      </c>
      <c r="H32" s="15">
        <v>275</v>
      </c>
      <c r="I32" s="15">
        <v>3066</v>
      </c>
      <c r="J32" s="90">
        <v>2701</v>
      </c>
      <c r="K32" s="90">
        <v>282</v>
      </c>
      <c r="L32" s="90" t="s">
        <v>115</v>
      </c>
      <c r="M32" s="90" t="s">
        <v>104</v>
      </c>
      <c r="N32" s="90" t="s">
        <v>666</v>
      </c>
      <c r="O32" s="91">
        <f>(SUM(Table1[[#This Row],[Likes]],Table1[[#This Row],[Shares]],Table1[[#This Row],[Comments]])/Table1[[#This Row],[Impressions]] )</f>
        <v>0.28245270711024134</v>
      </c>
      <c r="P32" s="90" t="s">
        <v>104</v>
      </c>
      <c r="Q32" s="90">
        <f t="shared" si="0"/>
        <v>710</v>
      </c>
    </row>
    <row r="33" spans="1:17" ht="14.25" customHeight="1" x14ac:dyDescent="0.3">
      <c r="A33" s="15" t="s">
        <v>170</v>
      </c>
      <c r="B33" s="15" t="s">
        <v>3</v>
      </c>
      <c r="C33" s="48" t="s">
        <v>171</v>
      </c>
      <c r="D33" s="15" t="s">
        <v>102</v>
      </c>
      <c r="E33" s="15" t="s">
        <v>103</v>
      </c>
      <c r="F33" s="15">
        <v>2278</v>
      </c>
      <c r="G33" s="15">
        <v>10</v>
      </c>
      <c r="H33" s="15">
        <v>321</v>
      </c>
      <c r="I33" s="15">
        <v>13668</v>
      </c>
      <c r="J33" s="90">
        <v>12676</v>
      </c>
      <c r="K33" s="90">
        <v>275</v>
      </c>
      <c r="L33" s="90" t="s">
        <v>115</v>
      </c>
      <c r="M33" s="90" t="s">
        <v>104</v>
      </c>
      <c r="N33" s="90" t="s">
        <v>87</v>
      </c>
      <c r="O33" s="91">
        <f>(SUM(Table1[[#This Row],[Likes]],Table1[[#This Row],[Shares]],Table1[[#This Row],[Comments]])/Table1[[#This Row],[Impressions]] )</f>
        <v>0.19088381621305239</v>
      </c>
      <c r="P33" s="90" t="s">
        <v>165</v>
      </c>
      <c r="Q33" s="90">
        <f t="shared" si="0"/>
        <v>606</v>
      </c>
    </row>
    <row r="34" spans="1:17" ht="14.25" customHeight="1" x14ac:dyDescent="0.3">
      <c r="A34" s="15" t="s">
        <v>172</v>
      </c>
      <c r="B34" s="15" t="s">
        <v>1</v>
      </c>
      <c r="C34" s="48" t="s">
        <v>173</v>
      </c>
      <c r="D34" s="15" t="s">
        <v>109</v>
      </c>
      <c r="E34" s="15" t="s">
        <v>110</v>
      </c>
      <c r="F34" s="15">
        <v>1407</v>
      </c>
      <c r="G34" s="15">
        <v>400</v>
      </c>
      <c r="H34" s="15">
        <v>351</v>
      </c>
      <c r="I34" s="15">
        <v>16884</v>
      </c>
      <c r="J34" s="90">
        <v>15954</v>
      </c>
      <c r="K34" s="90">
        <v>113</v>
      </c>
      <c r="L34" s="90" t="s">
        <v>99</v>
      </c>
      <c r="M34" s="90" t="s">
        <v>87</v>
      </c>
      <c r="N34" s="90" t="s">
        <v>137</v>
      </c>
      <c r="O34" s="91">
        <f>(SUM(Table1[[#This Row],[Likes]],Table1[[#This Row],[Shares]],Table1[[#This Row],[Comments]])/Table1[[#This Row],[Impressions]] )</f>
        <v>0.12781331438047855</v>
      </c>
      <c r="P34" s="90" t="s">
        <v>131</v>
      </c>
      <c r="Q34" s="90">
        <f t="shared" si="0"/>
        <v>864</v>
      </c>
    </row>
    <row r="35" spans="1:17" ht="14.25" customHeight="1" x14ac:dyDescent="0.3">
      <c r="A35" s="15" t="s">
        <v>174</v>
      </c>
      <c r="B35" s="15" t="s">
        <v>1</v>
      </c>
      <c r="C35" s="48" t="s">
        <v>175</v>
      </c>
      <c r="D35" s="15" t="s">
        <v>85</v>
      </c>
      <c r="E35" s="15" t="s">
        <v>86</v>
      </c>
      <c r="F35" s="15">
        <v>1652</v>
      </c>
      <c r="G35" s="15">
        <v>89</v>
      </c>
      <c r="H35" s="15">
        <v>357</v>
      </c>
      <c r="I35" s="15">
        <v>29736</v>
      </c>
      <c r="J35" s="90">
        <v>28771</v>
      </c>
      <c r="K35" s="90">
        <v>215</v>
      </c>
      <c r="L35" s="90" t="s">
        <v>88</v>
      </c>
      <c r="M35" s="90" t="s">
        <v>104</v>
      </c>
      <c r="N35" s="90" t="s">
        <v>137</v>
      </c>
      <c r="O35" s="91">
        <f>(SUM(Table1[[#This Row],[Likes]],Table1[[#This Row],[Shares]],Table1[[#This Row],[Comments]])/Table1[[#This Row],[Impressions]] )</f>
        <v>7.055421038471886E-2</v>
      </c>
      <c r="P35" s="90" t="s">
        <v>176</v>
      </c>
      <c r="Q35" s="90">
        <f t="shared" si="0"/>
        <v>661</v>
      </c>
    </row>
    <row r="36" spans="1:17" ht="14.25" customHeight="1" x14ac:dyDescent="0.3">
      <c r="A36" s="15" t="s">
        <v>177</v>
      </c>
      <c r="B36" s="15" t="s">
        <v>2</v>
      </c>
      <c r="C36" s="48" t="s">
        <v>178</v>
      </c>
      <c r="D36" s="15" t="s">
        <v>129</v>
      </c>
      <c r="E36" s="15" t="s">
        <v>130</v>
      </c>
      <c r="F36" s="15">
        <v>3775</v>
      </c>
      <c r="G36" s="15">
        <v>16</v>
      </c>
      <c r="H36" s="15">
        <v>239</v>
      </c>
      <c r="I36" s="15">
        <v>33975</v>
      </c>
      <c r="J36" s="90">
        <v>33310</v>
      </c>
      <c r="K36" s="90">
        <v>271</v>
      </c>
      <c r="L36" s="90" t="s">
        <v>99</v>
      </c>
      <c r="M36" s="90" t="s">
        <v>118</v>
      </c>
      <c r="N36" s="90" t="s">
        <v>81</v>
      </c>
      <c r="O36" s="91">
        <f>(SUM(Table1[[#This Row],[Likes]],Table1[[#This Row],[Shares]],Table1[[#This Row],[Comments]])/Table1[[#This Row],[Impressions]] )</f>
        <v>0.11861662987490802</v>
      </c>
      <c r="P36" s="90" t="s">
        <v>121</v>
      </c>
      <c r="Q36" s="90">
        <f t="shared" si="0"/>
        <v>526</v>
      </c>
    </row>
    <row r="37" spans="1:17" ht="14.25" customHeight="1" x14ac:dyDescent="0.3">
      <c r="A37" s="15" t="s">
        <v>179</v>
      </c>
      <c r="B37" s="15" t="s">
        <v>2</v>
      </c>
      <c r="C37" s="48" t="s">
        <v>180</v>
      </c>
      <c r="D37" s="15" t="s">
        <v>94</v>
      </c>
      <c r="E37" s="15" t="s">
        <v>95</v>
      </c>
      <c r="F37" s="15">
        <v>4518</v>
      </c>
      <c r="G37" s="15">
        <v>285</v>
      </c>
      <c r="H37" s="15">
        <v>383</v>
      </c>
      <c r="I37" s="15">
        <v>67770</v>
      </c>
      <c r="J37" s="90">
        <v>67621</v>
      </c>
      <c r="K37" s="90">
        <v>31</v>
      </c>
      <c r="L37" s="90" t="s">
        <v>88</v>
      </c>
      <c r="M37" s="90" t="s">
        <v>137</v>
      </c>
      <c r="N37" s="90" t="s">
        <v>666</v>
      </c>
      <c r="O37" s="91">
        <f>(SUM(Table1[[#This Row],[Likes]],Table1[[#This Row],[Shares]],Table1[[#This Row],[Comments]])/Table1[[#This Row],[Impressions]] )</f>
        <v>7.6523535487678915E-2</v>
      </c>
      <c r="P37" s="90" t="s">
        <v>137</v>
      </c>
      <c r="Q37" s="90">
        <f t="shared" si="0"/>
        <v>699</v>
      </c>
    </row>
    <row r="38" spans="1:17" ht="14.25" customHeight="1" x14ac:dyDescent="0.3">
      <c r="A38" s="15" t="s">
        <v>181</v>
      </c>
      <c r="B38" s="15" t="s">
        <v>1</v>
      </c>
      <c r="C38" s="48" t="s">
        <v>182</v>
      </c>
      <c r="D38" s="15" t="s">
        <v>102</v>
      </c>
      <c r="E38" s="15" t="s">
        <v>103</v>
      </c>
      <c r="F38" s="15">
        <v>3024</v>
      </c>
      <c r="G38" s="15">
        <v>925</v>
      </c>
      <c r="H38" s="15">
        <v>350</v>
      </c>
      <c r="I38" s="15">
        <v>24192</v>
      </c>
      <c r="J38" s="90">
        <v>23518</v>
      </c>
      <c r="K38" s="90">
        <v>36</v>
      </c>
      <c r="L38" s="90" t="s">
        <v>99</v>
      </c>
      <c r="M38" s="90" t="s">
        <v>81</v>
      </c>
      <c r="N38" s="90" t="s">
        <v>666</v>
      </c>
      <c r="O38" s="91">
        <f>(SUM(Table1[[#This Row],[Likes]],Table1[[#This Row],[Shares]],Table1[[#This Row],[Comments]])/Table1[[#This Row],[Impressions]] )</f>
        <v>0.17770337301587302</v>
      </c>
      <c r="P38" s="90" t="s">
        <v>81</v>
      </c>
      <c r="Q38" s="90">
        <f t="shared" si="0"/>
        <v>1311</v>
      </c>
    </row>
    <row r="39" spans="1:17" ht="14.25" customHeight="1" x14ac:dyDescent="0.3">
      <c r="A39" s="15" t="s">
        <v>183</v>
      </c>
      <c r="B39" s="15" t="s">
        <v>4</v>
      </c>
      <c r="C39" s="48" t="s">
        <v>184</v>
      </c>
      <c r="D39" s="15" t="s">
        <v>79</v>
      </c>
      <c r="E39" s="15" t="s">
        <v>80</v>
      </c>
      <c r="F39" s="15">
        <v>3138</v>
      </c>
      <c r="G39" s="15">
        <v>123</v>
      </c>
      <c r="H39" s="15">
        <v>291</v>
      </c>
      <c r="I39" s="15">
        <v>28242</v>
      </c>
      <c r="J39" s="90">
        <v>27550</v>
      </c>
      <c r="K39" s="90">
        <v>87</v>
      </c>
      <c r="L39" s="90" t="s">
        <v>115</v>
      </c>
      <c r="M39" s="90" t="s">
        <v>137</v>
      </c>
      <c r="N39" s="90" t="s">
        <v>666</v>
      </c>
      <c r="O39" s="91">
        <f>(SUM(Table1[[#This Row],[Likes]],Table1[[#This Row],[Shares]],Table1[[#This Row],[Comments]])/Table1[[#This Row],[Impressions]] )</f>
        <v>0.12577012959422137</v>
      </c>
      <c r="P39" s="90" t="s">
        <v>137</v>
      </c>
      <c r="Q39" s="90">
        <f t="shared" si="0"/>
        <v>501</v>
      </c>
    </row>
    <row r="40" spans="1:17" ht="14.25" customHeight="1" x14ac:dyDescent="0.3">
      <c r="A40" s="15" t="s">
        <v>185</v>
      </c>
      <c r="B40" s="15" t="s">
        <v>1</v>
      </c>
      <c r="C40" s="48" t="s">
        <v>186</v>
      </c>
      <c r="D40" s="15" t="s">
        <v>109</v>
      </c>
      <c r="E40" s="15" t="s">
        <v>110</v>
      </c>
      <c r="F40" s="15">
        <v>3564</v>
      </c>
      <c r="G40" s="15">
        <v>629</v>
      </c>
      <c r="H40" s="15">
        <v>177</v>
      </c>
      <c r="I40" s="15">
        <v>60588</v>
      </c>
      <c r="J40" s="90">
        <v>59627</v>
      </c>
      <c r="K40" s="90">
        <v>92</v>
      </c>
      <c r="L40" s="90" t="s">
        <v>99</v>
      </c>
      <c r="M40" s="90" t="s">
        <v>137</v>
      </c>
      <c r="N40" s="90" t="s">
        <v>81</v>
      </c>
      <c r="O40" s="91">
        <f>(SUM(Table1[[#This Row],[Likes]],Table1[[#This Row],[Shares]],Table1[[#This Row],[Comments]])/Table1[[#This Row],[Impressions]] )</f>
        <v>7.2126493695121141E-2</v>
      </c>
      <c r="P40" s="90" t="s">
        <v>187</v>
      </c>
      <c r="Q40" s="90">
        <f t="shared" si="0"/>
        <v>898</v>
      </c>
    </row>
    <row r="41" spans="1:17" ht="14.25" customHeight="1" x14ac:dyDescent="0.3">
      <c r="A41" s="15" t="s">
        <v>188</v>
      </c>
      <c r="B41" s="15" t="s">
        <v>3</v>
      </c>
      <c r="C41" s="48" t="s">
        <v>189</v>
      </c>
      <c r="D41" s="15" t="s">
        <v>109</v>
      </c>
      <c r="E41" s="15" t="s">
        <v>110</v>
      </c>
      <c r="F41" s="15">
        <v>4750</v>
      </c>
      <c r="G41" s="15">
        <v>151</v>
      </c>
      <c r="H41" s="15">
        <v>415</v>
      </c>
      <c r="I41" s="15">
        <v>38000</v>
      </c>
      <c r="J41" s="90">
        <v>37792</v>
      </c>
      <c r="K41" s="90">
        <v>299</v>
      </c>
      <c r="L41" s="90" t="s">
        <v>88</v>
      </c>
      <c r="M41" s="90" t="s">
        <v>118</v>
      </c>
      <c r="N41" s="90" t="s">
        <v>81</v>
      </c>
      <c r="O41" s="91">
        <f>(SUM(Table1[[#This Row],[Likes]],Table1[[#This Row],[Shares]],Table1[[#This Row],[Comments]])/Table1[[#This Row],[Impressions]] )</f>
        <v>0.13989473684210527</v>
      </c>
      <c r="P41" s="90" t="s">
        <v>121</v>
      </c>
      <c r="Q41" s="90">
        <f t="shared" si="0"/>
        <v>865</v>
      </c>
    </row>
    <row r="42" spans="1:17" ht="14.25" customHeight="1" x14ac:dyDescent="0.3">
      <c r="A42" s="15" t="s">
        <v>190</v>
      </c>
      <c r="B42" s="15" t="s">
        <v>2</v>
      </c>
      <c r="C42" s="48" t="s">
        <v>191</v>
      </c>
      <c r="D42" s="15" t="s">
        <v>79</v>
      </c>
      <c r="E42" s="15" t="s">
        <v>80</v>
      </c>
      <c r="F42" s="15">
        <v>456</v>
      </c>
      <c r="G42" s="15">
        <v>629</v>
      </c>
      <c r="H42" s="15">
        <v>428</v>
      </c>
      <c r="I42" s="15">
        <v>8208</v>
      </c>
      <c r="J42" s="90">
        <v>7377</v>
      </c>
      <c r="K42" s="90">
        <v>205</v>
      </c>
      <c r="L42" s="90" t="s">
        <v>99</v>
      </c>
      <c r="M42" s="90" t="s">
        <v>81</v>
      </c>
      <c r="N42" s="90" t="s">
        <v>137</v>
      </c>
      <c r="O42" s="91">
        <f>(SUM(Table1[[#This Row],[Likes]],Table1[[#This Row],[Shares]],Table1[[#This Row],[Comments]])/Table1[[#This Row],[Impressions]] )</f>
        <v>0.18433235867446393</v>
      </c>
      <c r="P42" s="90" t="s">
        <v>134</v>
      </c>
      <c r="Q42" s="90">
        <f t="shared" si="0"/>
        <v>1262</v>
      </c>
    </row>
    <row r="43" spans="1:17" ht="14.25" customHeight="1" x14ac:dyDescent="0.3">
      <c r="A43" s="15" t="s">
        <v>192</v>
      </c>
      <c r="B43" s="15" t="s">
        <v>4</v>
      </c>
      <c r="C43" s="48" t="s">
        <v>193</v>
      </c>
      <c r="D43" s="15" t="s">
        <v>79</v>
      </c>
      <c r="E43" s="15" t="s">
        <v>80</v>
      </c>
      <c r="F43" s="15">
        <v>1543</v>
      </c>
      <c r="G43" s="15">
        <v>820</v>
      </c>
      <c r="H43" s="15">
        <v>333</v>
      </c>
      <c r="I43" s="15">
        <v>12344</v>
      </c>
      <c r="J43" s="90">
        <v>11496</v>
      </c>
      <c r="K43" s="90">
        <v>241</v>
      </c>
      <c r="L43" s="90" t="s">
        <v>99</v>
      </c>
      <c r="M43" s="90" t="s">
        <v>118</v>
      </c>
      <c r="N43" s="90" t="s">
        <v>666</v>
      </c>
      <c r="O43" s="91">
        <f>(SUM(Table1[[#This Row],[Likes]],Table1[[#This Row],[Shares]],Table1[[#This Row],[Comments]])/Table1[[#This Row],[Impressions]] )</f>
        <v>0.21840570317563188</v>
      </c>
      <c r="P43" s="90" t="s">
        <v>118</v>
      </c>
      <c r="Q43" s="90">
        <f t="shared" si="0"/>
        <v>1394</v>
      </c>
    </row>
    <row r="44" spans="1:17" ht="14.25" customHeight="1" x14ac:dyDescent="0.3">
      <c r="A44" s="15" t="s">
        <v>194</v>
      </c>
      <c r="B44" s="15" t="s">
        <v>2</v>
      </c>
      <c r="C44" s="48" t="s">
        <v>195</v>
      </c>
      <c r="D44" s="15" t="s">
        <v>102</v>
      </c>
      <c r="E44" s="15" t="s">
        <v>103</v>
      </c>
      <c r="F44" s="15">
        <v>2174</v>
      </c>
      <c r="G44" s="15">
        <v>658</v>
      </c>
      <c r="H44" s="15">
        <v>15</v>
      </c>
      <c r="I44" s="15">
        <v>13044</v>
      </c>
      <c r="J44" s="90">
        <v>12206</v>
      </c>
      <c r="K44" s="90">
        <v>137</v>
      </c>
      <c r="L44" s="90" t="s">
        <v>115</v>
      </c>
      <c r="M44" s="90" t="s">
        <v>81</v>
      </c>
      <c r="N44" s="90" t="s">
        <v>87</v>
      </c>
      <c r="O44" s="91">
        <f>(SUM(Table1[[#This Row],[Likes]],Table1[[#This Row],[Shares]],Table1[[#This Row],[Comments]])/Table1[[#This Row],[Impressions]] )</f>
        <v>0.21826126954921804</v>
      </c>
      <c r="P44" s="90" t="s">
        <v>126</v>
      </c>
      <c r="Q44" s="90">
        <f t="shared" si="0"/>
        <v>810</v>
      </c>
    </row>
    <row r="45" spans="1:17" ht="14.25" customHeight="1" x14ac:dyDescent="0.3">
      <c r="A45" s="15" t="s">
        <v>196</v>
      </c>
      <c r="B45" s="15" t="s">
        <v>3</v>
      </c>
      <c r="C45" s="48" t="s">
        <v>197</v>
      </c>
      <c r="D45" s="15" t="s">
        <v>109</v>
      </c>
      <c r="E45" s="15" t="s">
        <v>110</v>
      </c>
      <c r="F45" s="15">
        <v>2358</v>
      </c>
      <c r="G45" s="15">
        <v>784</v>
      </c>
      <c r="H45" s="15">
        <v>344</v>
      </c>
      <c r="I45" s="15">
        <v>35370</v>
      </c>
      <c r="J45" s="90">
        <v>34475</v>
      </c>
      <c r="K45" s="90">
        <v>216</v>
      </c>
      <c r="L45" s="90" t="s">
        <v>82</v>
      </c>
      <c r="M45" s="90" t="s">
        <v>81</v>
      </c>
      <c r="N45" s="90" t="s">
        <v>118</v>
      </c>
      <c r="O45" s="91">
        <f>(SUM(Table1[[#This Row],[Likes]],Table1[[#This Row],[Shares]],Table1[[#This Row],[Comments]])/Table1[[#This Row],[Impressions]] )</f>
        <v>9.8558100084817649E-2</v>
      </c>
      <c r="P45" s="90" t="s">
        <v>142</v>
      </c>
      <c r="Q45" s="90">
        <f t="shared" si="0"/>
        <v>1344</v>
      </c>
    </row>
    <row r="46" spans="1:17" ht="14.25" customHeight="1" x14ac:dyDescent="0.3">
      <c r="A46" s="15" t="s">
        <v>198</v>
      </c>
      <c r="B46" s="15" t="s">
        <v>1</v>
      </c>
      <c r="C46" s="48" t="s">
        <v>199</v>
      </c>
      <c r="D46" s="15" t="s">
        <v>129</v>
      </c>
      <c r="E46" s="15" t="s">
        <v>130</v>
      </c>
      <c r="F46" s="15">
        <v>3371</v>
      </c>
      <c r="G46" s="15">
        <v>106</v>
      </c>
      <c r="H46" s="15">
        <v>327</v>
      </c>
      <c r="I46" s="15">
        <v>50565</v>
      </c>
      <c r="J46" s="90">
        <v>49816</v>
      </c>
      <c r="K46" s="90">
        <v>176</v>
      </c>
      <c r="L46" s="90" t="s">
        <v>115</v>
      </c>
      <c r="M46" s="90" t="s">
        <v>137</v>
      </c>
      <c r="N46" s="90" t="s">
        <v>666</v>
      </c>
      <c r="O46" s="91">
        <f>(SUM(Table1[[#This Row],[Likes]],Table1[[#This Row],[Shares]],Table1[[#This Row],[Comments]])/Table1[[#This Row],[Impressions]] )</f>
        <v>7.5229902106199939E-2</v>
      </c>
      <c r="P46" s="90" t="s">
        <v>137</v>
      </c>
      <c r="Q46" s="90">
        <f t="shared" si="0"/>
        <v>609</v>
      </c>
    </row>
    <row r="47" spans="1:17" ht="14.25" customHeight="1" x14ac:dyDescent="0.3">
      <c r="A47" s="15" t="s">
        <v>200</v>
      </c>
      <c r="B47" s="15" t="s">
        <v>3</v>
      </c>
      <c r="C47" s="48" t="s">
        <v>201</v>
      </c>
      <c r="D47" s="15" t="s">
        <v>129</v>
      </c>
      <c r="E47" s="15" t="s">
        <v>130</v>
      </c>
      <c r="F47" s="15">
        <v>1108</v>
      </c>
      <c r="G47" s="15">
        <v>177</v>
      </c>
      <c r="H47" s="15">
        <v>212</v>
      </c>
      <c r="I47" s="15">
        <v>8864</v>
      </c>
      <c r="J47" s="90">
        <v>8710</v>
      </c>
      <c r="K47" s="90">
        <v>97</v>
      </c>
      <c r="L47" s="90" t="s">
        <v>115</v>
      </c>
      <c r="M47" s="90" t="s">
        <v>87</v>
      </c>
      <c r="N47" s="90" t="s">
        <v>666</v>
      </c>
      <c r="O47" s="91">
        <f>(SUM(Table1[[#This Row],[Likes]],Table1[[#This Row],[Shares]],Table1[[#This Row],[Comments]])/Table1[[#This Row],[Impressions]] )</f>
        <v>0.16888537906137185</v>
      </c>
      <c r="P47" s="90" t="s">
        <v>87</v>
      </c>
      <c r="Q47" s="90">
        <f t="shared" si="0"/>
        <v>486</v>
      </c>
    </row>
    <row r="48" spans="1:17" ht="14.25" customHeight="1" x14ac:dyDescent="0.3">
      <c r="A48" s="15" t="s">
        <v>202</v>
      </c>
      <c r="B48" s="15" t="s">
        <v>3</v>
      </c>
      <c r="C48" s="48" t="s">
        <v>203</v>
      </c>
      <c r="D48" s="15" t="s">
        <v>102</v>
      </c>
      <c r="E48" s="15" t="s">
        <v>103</v>
      </c>
      <c r="F48" s="15">
        <v>2704</v>
      </c>
      <c r="G48" s="15">
        <v>752</v>
      </c>
      <c r="H48" s="15">
        <v>153</v>
      </c>
      <c r="I48" s="15">
        <v>21632</v>
      </c>
      <c r="J48" s="90">
        <v>20792</v>
      </c>
      <c r="K48" s="90">
        <v>127</v>
      </c>
      <c r="L48" s="90" t="s">
        <v>82</v>
      </c>
      <c r="M48" s="90" t="s">
        <v>137</v>
      </c>
      <c r="N48" s="90" t="s">
        <v>87</v>
      </c>
      <c r="O48" s="91">
        <f>(SUM(Table1[[#This Row],[Likes]],Table1[[#This Row],[Shares]],Table1[[#This Row],[Comments]])/Table1[[#This Row],[Impressions]] )</f>
        <v>0.16683616863905326</v>
      </c>
      <c r="P48" s="90" t="s">
        <v>204</v>
      </c>
      <c r="Q48" s="90">
        <f t="shared" si="0"/>
        <v>1032</v>
      </c>
    </row>
    <row r="49" spans="1:17" ht="14.25" customHeight="1" x14ac:dyDescent="0.3">
      <c r="A49" s="15" t="s">
        <v>205</v>
      </c>
      <c r="B49" s="15" t="s">
        <v>3</v>
      </c>
      <c r="C49" s="48" t="s">
        <v>114</v>
      </c>
      <c r="D49" s="15" t="s">
        <v>94</v>
      </c>
      <c r="E49" s="15" t="s">
        <v>95</v>
      </c>
      <c r="F49" s="15">
        <v>1950</v>
      </c>
      <c r="G49" s="15">
        <v>295</v>
      </c>
      <c r="H49" s="15">
        <v>478</v>
      </c>
      <c r="I49" s="15">
        <v>37050</v>
      </c>
      <c r="J49" s="90">
        <v>36272</v>
      </c>
      <c r="K49" s="90">
        <v>119</v>
      </c>
      <c r="L49" s="90" t="s">
        <v>115</v>
      </c>
      <c r="M49" s="90" t="s">
        <v>87</v>
      </c>
      <c r="N49" s="90" t="s">
        <v>118</v>
      </c>
      <c r="O49" s="91">
        <f>(SUM(Table1[[#This Row],[Likes]],Table1[[#This Row],[Shares]],Table1[[#This Row],[Comments]])/Table1[[#This Row],[Impressions]] )</f>
        <v>7.349527665317139E-2</v>
      </c>
      <c r="P49" s="90" t="s">
        <v>206</v>
      </c>
      <c r="Q49" s="90">
        <f t="shared" si="0"/>
        <v>892</v>
      </c>
    </row>
    <row r="50" spans="1:17" ht="14.25" customHeight="1" x14ac:dyDescent="0.3">
      <c r="A50" s="15" t="s">
        <v>207</v>
      </c>
      <c r="B50" s="15" t="s">
        <v>3</v>
      </c>
      <c r="C50" s="48" t="s">
        <v>208</v>
      </c>
      <c r="D50" s="15" t="s">
        <v>94</v>
      </c>
      <c r="E50" s="15" t="s">
        <v>95</v>
      </c>
      <c r="F50" s="15">
        <v>2164</v>
      </c>
      <c r="G50" s="15">
        <v>549</v>
      </c>
      <c r="H50" s="15">
        <v>274</v>
      </c>
      <c r="I50" s="15">
        <v>28132</v>
      </c>
      <c r="J50" s="90">
        <v>27361</v>
      </c>
      <c r="K50" s="90">
        <v>177</v>
      </c>
      <c r="L50" s="90" t="s">
        <v>82</v>
      </c>
      <c r="M50" s="90" t="s">
        <v>118</v>
      </c>
      <c r="N50" s="90" t="s">
        <v>666</v>
      </c>
      <c r="O50" s="91">
        <f>(SUM(Table1[[#This Row],[Likes]],Table1[[#This Row],[Shares]],Table1[[#This Row],[Comments]])/Table1[[#This Row],[Impressions]] )</f>
        <v>0.10617801791554102</v>
      </c>
      <c r="P50" s="90" t="s">
        <v>118</v>
      </c>
      <c r="Q50" s="90">
        <f t="shared" si="0"/>
        <v>1000</v>
      </c>
    </row>
    <row r="51" spans="1:17" ht="14.25" customHeight="1" x14ac:dyDescent="0.3">
      <c r="A51" s="15" t="s">
        <v>209</v>
      </c>
      <c r="B51" s="15" t="s">
        <v>4</v>
      </c>
      <c r="C51" s="48" t="s">
        <v>210</v>
      </c>
      <c r="D51" s="15" t="s">
        <v>94</v>
      </c>
      <c r="E51" s="15" t="s">
        <v>95</v>
      </c>
      <c r="F51" s="15">
        <v>2754</v>
      </c>
      <c r="G51" s="15">
        <v>130</v>
      </c>
      <c r="H51" s="15">
        <v>90</v>
      </c>
      <c r="I51" s="15">
        <v>22032</v>
      </c>
      <c r="J51" s="90">
        <v>21288</v>
      </c>
      <c r="K51" s="90">
        <v>112</v>
      </c>
      <c r="L51" s="90" t="s">
        <v>82</v>
      </c>
      <c r="M51" s="90" t="s">
        <v>87</v>
      </c>
      <c r="N51" s="90" t="s">
        <v>666</v>
      </c>
      <c r="O51" s="91">
        <f>(SUM(Table1[[#This Row],[Likes]],Table1[[#This Row],[Shares]],Table1[[#This Row],[Comments]])/Table1[[#This Row],[Impressions]] )</f>
        <v>0.13498547567175018</v>
      </c>
      <c r="P51" s="90" t="s">
        <v>87</v>
      </c>
      <c r="Q51" s="90">
        <f t="shared" si="0"/>
        <v>332</v>
      </c>
    </row>
    <row r="52" spans="1:17" ht="14.25" customHeight="1" x14ac:dyDescent="0.3">
      <c r="A52" s="15" t="s">
        <v>211</v>
      </c>
      <c r="B52" s="15" t="s">
        <v>1</v>
      </c>
      <c r="C52" s="48" t="s">
        <v>212</v>
      </c>
      <c r="D52" s="15" t="s">
        <v>102</v>
      </c>
      <c r="E52" s="15" t="s">
        <v>103</v>
      </c>
      <c r="F52" s="15">
        <v>2200</v>
      </c>
      <c r="G52" s="15">
        <v>504</v>
      </c>
      <c r="H52" s="15">
        <v>239</v>
      </c>
      <c r="I52" s="15">
        <v>37400</v>
      </c>
      <c r="J52" s="90">
        <v>36938</v>
      </c>
      <c r="K52" s="90">
        <v>225</v>
      </c>
      <c r="L52" s="90" t="s">
        <v>99</v>
      </c>
      <c r="M52" s="90" t="s">
        <v>81</v>
      </c>
      <c r="N52" s="90" t="s">
        <v>666</v>
      </c>
      <c r="O52" s="91">
        <f>(SUM(Table1[[#This Row],[Likes]],Table1[[#This Row],[Shares]],Table1[[#This Row],[Comments]])/Table1[[#This Row],[Impressions]] )</f>
        <v>7.8689839572192513E-2</v>
      </c>
      <c r="P52" s="90" t="s">
        <v>81</v>
      </c>
      <c r="Q52" s="90">
        <f t="shared" si="0"/>
        <v>968</v>
      </c>
    </row>
    <row r="53" spans="1:17" ht="14.25" customHeight="1" x14ac:dyDescent="0.3">
      <c r="A53" s="15" t="s">
        <v>213</v>
      </c>
      <c r="B53" s="15" t="s">
        <v>1</v>
      </c>
      <c r="C53" s="48" t="s">
        <v>214</v>
      </c>
      <c r="D53" s="15" t="s">
        <v>109</v>
      </c>
      <c r="E53" s="15" t="s">
        <v>110</v>
      </c>
      <c r="F53" s="15">
        <v>947</v>
      </c>
      <c r="G53" s="15">
        <v>338</v>
      </c>
      <c r="H53" s="15">
        <v>350</v>
      </c>
      <c r="I53" s="15">
        <v>10417</v>
      </c>
      <c r="J53" s="90">
        <v>9730</v>
      </c>
      <c r="K53" s="90">
        <v>34</v>
      </c>
      <c r="L53" s="90" t="s">
        <v>99</v>
      </c>
      <c r="M53" s="90" t="s">
        <v>87</v>
      </c>
      <c r="N53" s="90" t="s">
        <v>81</v>
      </c>
      <c r="O53" s="91">
        <f>(SUM(Table1[[#This Row],[Likes]],Table1[[#This Row],[Shares]],Table1[[#This Row],[Comments]])/Table1[[#This Row],[Impressions]] )</f>
        <v>0.1569549774407219</v>
      </c>
      <c r="P53" s="90" t="s">
        <v>91</v>
      </c>
      <c r="Q53" s="90">
        <f t="shared" si="0"/>
        <v>722</v>
      </c>
    </row>
    <row r="54" spans="1:17" ht="14.25" customHeight="1" x14ac:dyDescent="0.3">
      <c r="A54" s="15" t="s">
        <v>215</v>
      </c>
      <c r="B54" s="15" t="s">
        <v>4</v>
      </c>
      <c r="C54" s="48" t="s">
        <v>203</v>
      </c>
      <c r="D54" s="15" t="s">
        <v>102</v>
      </c>
      <c r="E54" s="15" t="s">
        <v>103</v>
      </c>
      <c r="F54" s="15">
        <v>804</v>
      </c>
      <c r="G54" s="15">
        <v>639</v>
      </c>
      <c r="H54" s="15">
        <v>43</v>
      </c>
      <c r="I54" s="15">
        <v>4020</v>
      </c>
      <c r="J54" s="90">
        <v>3144</v>
      </c>
      <c r="K54" s="90">
        <v>11</v>
      </c>
      <c r="L54" s="90" t="s">
        <v>115</v>
      </c>
      <c r="M54" s="90" t="s">
        <v>118</v>
      </c>
      <c r="N54" s="90" t="s">
        <v>104</v>
      </c>
      <c r="O54" s="91">
        <f>(SUM(Table1[[#This Row],[Likes]],Table1[[#This Row],[Shares]],Table1[[#This Row],[Comments]])/Table1[[#This Row],[Impressions]] )</f>
        <v>0.36965174129353234</v>
      </c>
      <c r="P54" s="90" t="s">
        <v>147</v>
      </c>
      <c r="Q54" s="90">
        <f t="shared" si="0"/>
        <v>693</v>
      </c>
    </row>
    <row r="55" spans="1:17" ht="14.25" customHeight="1" x14ac:dyDescent="0.3">
      <c r="A55" s="15" t="s">
        <v>216</v>
      </c>
      <c r="B55" s="15" t="s">
        <v>4</v>
      </c>
      <c r="C55" s="48" t="s">
        <v>217</v>
      </c>
      <c r="D55" s="15" t="s">
        <v>102</v>
      </c>
      <c r="E55" s="15" t="s">
        <v>103</v>
      </c>
      <c r="F55" s="15">
        <v>1686</v>
      </c>
      <c r="G55" s="15">
        <v>904</v>
      </c>
      <c r="H55" s="15">
        <v>472</v>
      </c>
      <c r="I55" s="15">
        <v>18546</v>
      </c>
      <c r="J55" s="90">
        <v>18171</v>
      </c>
      <c r="K55" s="90">
        <v>52</v>
      </c>
      <c r="L55" s="90" t="s">
        <v>88</v>
      </c>
      <c r="M55" s="90" t="s">
        <v>87</v>
      </c>
      <c r="N55" s="90" t="s">
        <v>137</v>
      </c>
      <c r="O55" s="91">
        <f>(SUM(Table1[[#This Row],[Likes]],Table1[[#This Row],[Shares]],Table1[[#This Row],[Comments]])/Table1[[#This Row],[Impressions]] )</f>
        <v>0.16510298716704411</v>
      </c>
      <c r="P55" s="90" t="s">
        <v>131</v>
      </c>
      <c r="Q55" s="90">
        <f t="shared" si="0"/>
        <v>1428</v>
      </c>
    </row>
    <row r="56" spans="1:17" ht="14.25" customHeight="1" x14ac:dyDescent="0.3">
      <c r="A56" s="15" t="s">
        <v>218</v>
      </c>
      <c r="B56" s="15" t="s">
        <v>1</v>
      </c>
      <c r="C56" s="48" t="s">
        <v>219</v>
      </c>
      <c r="D56" s="15" t="s">
        <v>109</v>
      </c>
      <c r="E56" s="15" t="s">
        <v>110</v>
      </c>
      <c r="F56" s="15">
        <v>1226</v>
      </c>
      <c r="G56" s="15">
        <v>119</v>
      </c>
      <c r="H56" s="15">
        <v>7</v>
      </c>
      <c r="I56" s="15">
        <v>14712</v>
      </c>
      <c r="J56" s="90">
        <v>14049</v>
      </c>
      <c r="K56" s="90">
        <v>123</v>
      </c>
      <c r="L56" s="90" t="s">
        <v>115</v>
      </c>
      <c r="M56" s="90" t="s">
        <v>81</v>
      </c>
      <c r="N56" s="90" t="s">
        <v>104</v>
      </c>
      <c r="O56" s="91">
        <f>(SUM(Table1[[#This Row],[Likes]],Table1[[#This Row],[Shares]],Table1[[#This Row],[Comments]])/Table1[[#This Row],[Impressions]] )</f>
        <v>9.1897770527460579E-2</v>
      </c>
      <c r="P56" s="90" t="s">
        <v>162</v>
      </c>
      <c r="Q56" s="90">
        <f t="shared" si="0"/>
        <v>249</v>
      </c>
    </row>
    <row r="57" spans="1:17" ht="14.25" customHeight="1" x14ac:dyDescent="0.3">
      <c r="A57" s="15" t="s">
        <v>220</v>
      </c>
      <c r="B57" s="15" t="s">
        <v>1</v>
      </c>
      <c r="C57" s="48" t="s">
        <v>221</v>
      </c>
      <c r="D57" s="15" t="s">
        <v>102</v>
      </c>
      <c r="E57" s="15" t="s">
        <v>103</v>
      </c>
      <c r="F57" s="15">
        <v>2946</v>
      </c>
      <c r="G57" s="15">
        <v>498</v>
      </c>
      <c r="H57" s="15">
        <v>367</v>
      </c>
      <c r="I57" s="15">
        <v>29460</v>
      </c>
      <c r="J57" s="90">
        <v>28527</v>
      </c>
      <c r="K57" s="90">
        <v>60</v>
      </c>
      <c r="L57" s="90" t="s">
        <v>88</v>
      </c>
      <c r="M57" s="90" t="s">
        <v>118</v>
      </c>
      <c r="N57" s="90" t="s">
        <v>137</v>
      </c>
      <c r="O57" s="91">
        <f>(SUM(Table1[[#This Row],[Likes]],Table1[[#This Row],[Shares]],Table1[[#This Row],[Comments]])/Table1[[#This Row],[Impressions]] )</f>
        <v>0.12936184657162253</v>
      </c>
      <c r="P57" s="90" t="s">
        <v>222</v>
      </c>
      <c r="Q57" s="90">
        <f t="shared" si="0"/>
        <v>925</v>
      </c>
    </row>
    <row r="58" spans="1:17" ht="14.25" customHeight="1" x14ac:dyDescent="0.3">
      <c r="A58" s="15" t="s">
        <v>223</v>
      </c>
      <c r="B58" s="15" t="s">
        <v>3</v>
      </c>
      <c r="C58" s="48" t="s">
        <v>224</v>
      </c>
      <c r="D58" s="15" t="s">
        <v>129</v>
      </c>
      <c r="E58" s="15" t="s">
        <v>130</v>
      </c>
      <c r="F58" s="15">
        <v>2825</v>
      </c>
      <c r="G58" s="15">
        <v>535</v>
      </c>
      <c r="H58" s="15">
        <v>295</v>
      </c>
      <c r="I58" s="15">
        <v>45200</v>
      </c>
      <c r="J58" s="90">
        <v>44739</v>
      </c>
      <c r="K58" s="90">
        <v>169</v>
      </c>
      <c r="L58" s="90" t="s">
        <v>88</v>
      </c>
      <c r="M58" s="90" t="s">
        <v>118</v>
      </c>
      <c r="N58" s="90" t="s">
        <v>666</v>
      </c>
      <c r="O58" s="91">
        <f>(SUM(Table1[[#This Row],[Likes]],Table1[[#This Row],[Shares]],Table1[[#This Row],[Comments]])/Table1[[#This Row],[Impressions]] )</f>
        <v>8.0862831858407078E-2</v>
      </c>
      <c r="P58" s="90" t="s">
        <v>118</v>
      </c>
      <c r="Q58" s="90">
        <f t="shared" si="0"/>
        <v>999</v>
      </c>
    </row>
    <row r="59" spans="1:17" ht="14.25" customHeight="1" x14ac:dyDescent="0.3">
      <c r="A59" s="15" t="s">
        <v>225</v>
      </c>
      <c r="B59" s="15" t="s">
        <v>2</v>
      </c>
      <c r="C59" s="48" t="s">
        <v>226</v>
      </c>
      <c r="D59" s="15" t="s">
        <v>79</v>
      </c>
      <c r="E59" s="15" t="s">
        <v>80</v>
      </c>
      <c r="F59" s="15">
        <v>103</v>
      </c>
      <c r="G59" s="15">
        <v>770</v>
      </c>
      <c r="H59" s="15">
        <v>19</v>
      </c>
      <c r="I59" s="15">
        <v>1030</v>
      </c>
      <c r="J59" s="90">
        <v>410</v>
      </c>
      <c r="K59" s="90">
        <v>262</v>
      </c>
      <c r="L59" s="90" t="s">
        <v>99</v>
      </c>
      <c r="M59" s="90" t="s">
        <v>81</v>
      </c>
      <c r="N59" s="90" t="s">
        <v>666</v>
      </c>
      <c r="O59" s="91">
        <f>(SUM(Table1[[#This Row],[Likes]],Table1[[#This Row],[Shares]],Table1[[#This Row],[Comments]])/Table1[[#This Row],[Impressions]] )</f>
        <v>0.86601941747572819</v>
      </c>
      <c r="P59" s="90" t="s">
        <v>81</v>
      </c>
      <c r="Q59" s="90">
        <f t="shared" si="0"/>
        <v>1051</v>
      </c>
    </row>
    <row r="60" spans="1:17" ht="14.25" customHeight="1" x14ac:dyDescent="0.3">
      <c r="A60" s="15" t="s">
        <v>227</v>
      </c>
      <c r="B60" s="15" t="s">
        <v>2</v>
      </c>
      <c r="C60" s="48" t="s">
        <v>228</v>
      </c>
      <c r="D60" s="15" t="s">
        <v>85</v>
      </c>
      <c r="E60" s="15" t="s">
        <v>86</v>
      </c>
      <c r="F60" s="15">
        <v>2180</v>
      </c>
      <c r="G60" s="15">
        <v>263</v>
      </c>
      <c r="H60" s="15">
        <v>387</v>
      </c>
      <c r="I60" s="15">
        <v>30520</v>
      </c>
      <c r="J60" s="90">
        <v>30059</v>
      </c>
      <c r="K60" s="90">
        <v>174</v>
      </c>
      <c r="L60" s="90" t="s">
        <v>82</v>
      </c>
      <c r="M60" s="90" t="s">
        <v>137</v>
      </c>
      <c r="N60" s="90" t="s">
        <v>666</v>
      </c>
      <c r="O60" s="91">
        <f>(SUM(Table1[[#This Row],[Likes]],Table1[[#This Row],[Shares]],Table1[[#This Row],[Comments]])/Table1[[#This Row],[Impressions]] )</f>
        <v>9.2726081258191345E-2</v>
      </c>
      <c r="P60" s="90" t="s">
        <v>137</v>
      </c>
      <c r="Q60" s="90">
        <f t="shared" si="0"/>
        <v>824</v>
      </c>
    </row>
    <row r="61" spans="1:17" ht="14.25" customHeight="1" x14ac:dyDescent="0.3">
      <c r="A61" s="15" t="s">
        <v>229</v>
      </c>
      <c r="B61" s="15" t="s">
        <v>2</v>
      </c>
      <c r="C61" s="48" t="s">
        <v>230</v>
      </c>
      <c r="D61" s="15" t="s">
        <v>129</v>
      </c>
      <c r="E61" s="15" t="s">
        <v>130</v>
      </c>
      <c r="F61" s="15">
        <v>904</v>
      </c>
      <c r="G61" s="15">
        <v>973</v>
      </c>
      <c r="H61" s="15">
        <v>63</v>
      </c>
      <c r="I61" s="15">
        <v>11752</v>
      </c>
      <c r="J61" s="90">
        <v>11580</v>
      </c>
      <c r="K61" s="90">
        <v>84</v>
      </c>
      <c r="L61" s="90" t="s">
        <v>82</v>
      </c>
      <c r="M61" s="90" t="s">
        <v>118</v>
      </c>
      <c r="N61" s="90" t="s">
        <v>666</v>
      </c>
      <c r="O61" s="91">
        <f>(SUM(Table1[[#This Row],[Likes]],Table1[[#This Row],[Shares]],Table1[[#This Row],[Comments]])/Table1[[#This Row],[Impressions]] )</f>
        <v>0.1650782845473111</v>
      </c>
      <c r="P61" s="90" t="s">
        <v>118</v>
      </c>
      <c r="Q61" s="90">
        <f t="shared" si="0"/>
        <v>1120</v>
      </c>
    </row>
    <row r="62" spans="1:17" ht="14.25" customHeight="1" x14ac:dyDescent="0.3">
      <c r="A62" s="15" t="s">
        <v>231</v>
      </c>
      <c r="B62" s="15" t="s">
        <v>3</v>
      </c>
      <c r="C62" s="48" t="s">
        <v>232</v>
      </c>
      <c r="D62" s="15" t="s">
        <v>129</v>
      </c>
      <c r="E62" s="15" t="s">
        <v>130</v>
      </c>
      <c r="F62" s="15">
        <v>4886</v>
      </c>
      <c r="G62" s="15">
        <v>983</v>
      </c>
      <c r="H62" s="15">
        <v>409</v>
      </c>
      <c r="I62" s="15">
        <v>43974</v>
      </c>
      <c r="J62" s="90">
        <v>43239</v>
      </c>
      <c r="K62" s="90">
        <v>65</v>
      </c>
      <c r="L62" s="90" t="s">
        <v>82</v>
      </c>
      <c r="M62" s="90" t="s">
        <v>87</v>
      </c>
      <c r="N62" s="90" t="s">
        <v>666</v>
      </c>
      <c r="O62" s="91">
        <f>(SUM(Table1[[#This Row],[Likes]],Table1[[#This Row],[Shares]],Table1[[#This Row],[Comments]])/Table1[[#This Row],[Impressions]] )</f>
        <v>0.14276618001546368</v>
      </c>
      <c r="P62" s="90" t="s">
        <v>87</v>
      </c>
      <c r="Q62" s="90">
        <f t="shared" si="0"/>
        <v>1457</v>
      </c>
    </row>
    <row r="63" spans="1:17" ht="14.25" customHeight="1" x14ac:dyDescent="0.3">
      <c r="A63" s="15" t="s">
        <v>233</v>
      </c>
      <c r="B63" s="15" t="s">
        <v>3</v>
      </c>
      <c r="C63" s="48" t="s">
        <v>234</v>
      </c>
      <c r="D63" s="15" t="s">
        <v>102</v>
      </c>
      <c r="E63" s="15" t="s">
        <v>103</v>
      </c>
      <c r="F63" s="15">
        <v>53</v>
      </c>
      <c r="G63" s="15">
        <v>81</v>
      </c>
      <c r="H63" s="15">
        <v>379</v>
      </c>
      <c r="I63" s="15">
        <v>954</v>
      </c>
      <c r="J63" s="90">
        <v>7</v>
      </c>
      <c r="K63" s="90">
        <v>148</v>
      </c>
      <c r="L63" s="90" t="s">
        <v>99</v>
      </c>
      <c r="M63" s="90" t="s">
        <v>137</v>
      </c>
      <c r="N63" s="90" t="s">
        <v>666</v>
      </c>
      <c r="O63" s="91">
        <f>(SUM(Table1[[#This Row],[Likes]],Table1[[#This Row],[Shares]],Table1[[#This Row],[Comments]])/Table1[[#This Row],[Impressions]] )</f>
        <v>0.53773584905660377</v>
      </c>
      <c r="P63" s="90" t="s">
        <v>137</v>
      </c>
      <c r="Q63" s="90">
        <f t="shared" si="0"/>
        <v>608</v>
      </c>
    </row>
    <row r="64" spans="1:17" ht="14.25" customHeight="1" x14ac:dyDescent="0.3">
      <c r="A64" s="15" t="s">
        <v>235</v>
      </c>
      <c r="B64" s="15" t="s">
        <v>3</v>
      </c>
      <c r="C64" s="48" t="s">
        <v>171</v>
      </c>
      <c r="D64" s="15" t="s">
        <v>102</v>
      </c>
      <c r="E64" s="15" t="s">
        <v>103</v>
      </c>
      <c r="F64" s="15">
        <v>4507</v>
      </c>
      <c r="G64" s="15">
        <v>217</v>
      </c>
      <c r="H64" s="15">
        <v>13</v>
      </c>
      <c r="I64" s="15">
        <v>90140</v>
      </c>
      <c r="J64" s="90">
        <v>89591</v>
      </c>
      <c r="K64" s="90">
        <v>125</v>
      </c>
      <c r="L64" s="90" t="s">
        <v>82</v>
      </c>
      <c r="M64" s="90" t="s">
        <v>81</v>
      </c>
      <c r="N64" s="90" t="s">
        <v>666</v>
      </c>
      <c r="O64" s="91">
        <f>(SUM(Table1[[#This Row],[Likes]],Table1[[#This Row],[Shares]],Table1[[#This Row],[Comments]])/Table1[[#This Row],[Impressions]] )</f>
        <v>5.2551586421122697E-2</v>
      </c>
      <c r="P64" s="90" t="s">
        <v>81</v>
      </c>
      <c r="Q64" s="90">
        <f t="shared" si="0"/>
        <v>355</v>
      </c>
    </row>
    <row r="65" spans="1:17" ht="14.25" customHeight="1" x14ac:dyDescent="0.3">
      <c r="A65" s="15" t="s">
        <v>236</v>
      </c>
      <c r="B65" s="15" t="s">
        <v>1</v>
      </c>
      <c r="C65" s="48" t="s">
        <v>237</v>
      </c>
      <c r="D65" s="15" t="s">
        <v>109</v>
      </c>
      <c r="E65" s="15" t="s">
        <v>110</v>
      </c>
      <c r="F65" s="15">
        <v>2878</v>
      </c>
      <c r="G65" s="15">
        <v>248</v>
      </c>
      <c r="H65" s="15">
        <v>416</v>
      </c>
      <c r="I65" s="15">
        <v>43170</v>
      </c>
      <c r="J65" s="90">
        <v>42667</v>
      </c>
      <c r="K65" s="90">
        <v>75</v>
      </c>
      <c r="L65" s="90" t="s">
        <v>88</v>
      </c>
      <c r="M65" s="90" t="s">
        <v>137</v>
      </c>
      <c r="N65" s="90" t="s">
        <v>104</v>
      </c>
      <c r="O65" s="91">
        <f>(SUM(Table1[[#This Row],[Likes]],Table1[[#This Row],[Shares]],Table1[[#This Row],[Comments]])/Table1[[#This Row],[Impressions]] )</f>
        <v>8.2047718322909427E-2</v>
      </c>
      <c r="P65" s="90" t="s">
        <v>238</v>
      </c>
      <c r="Q65" s="90">
        <f t="shared" si="0"/>
        <v>739</v>
      </c>
    </row>
    <row r="66" spans="1:17" ht="14.25" customHeight="1" x14ac:dyDescent="0.3">
      <c r="A66" s="15" t="s">
        <v>239</v>
      </c>
      <c r="B66" s="15" t="s">
        <v>2</v>
      </c>
      <c r="C66" s="48" t="s">
        <v>240</v>
      </c>
      <c r="D66" s="15" t="s">
        <v>94</v>
      </c>
      <c r="E66" s="15" t="s">
        <v>95</v>
      </c>
      <c r="F66" s="15">
        <v>1881</v>
      </c>
      <c r="G66" s="15">
        <v>501</v>
      </c>
      <c r="H66" s="15">
        <v>99</v>
      </c>
      <c r="I66" s="15">
        <v>20691</v>
      </c>
      <c r="J66" s="90">
        <v>19987</v>
      </c>
      <c r="K66" s="90">
        <v>289</v>
      </c>
      <c r="L66" s="90" t="s">
        <v>88</v>
      </c>
      <c r="M66" s="90" t="s">
        <v>137</v>
      </c>
      <c r="N66" s="90" t="s">
        <v>666</v>
      </c>
      <c r="O66" s="91">
        <f>(SUM(Table1[[#This Row],[Likes]],Table1[[#This Row],[Shares]],Table1[[#This Row],[Comments]])/Table1[[#This Row],[Impressions]] )</f>
        <v>0.11990720603160794</v>
      </c>
      <c r="P66" s="90" t="s">
        <v>137</v>
      </c>
      <c r="Q66" s="90">
        <f t="shared" ref="Q66:Q129" si="1">SUM(G66,H66,K66)</f>
        <v>889</v>
      </c>
    </row>
    <row r="67" spans="1:17" ht="14.25" customHeight="1" x14ac:dyDescent="0.3">
      <c r="A67" s="15" t="s">
        <v>241</v>
      </c>
      <c r="B67" s="15" t="s">
        <v>3</v>
      </c>
      <c r="C67" s="48" t="s">
        <v>242</v>
      </c>
      <c r="D67" s="15" t="s">
        <v>102</v>
      </c>
      <c r="E67" s="15" t="s">
        <v>103</v>
      </c>
      <c r="F67" s="15">
        <v>432</v>
      </c>
      <c r="G67" s="15">
        <v>171</v>
      </c>
      <c r="H67" s="15">
        <v>280</v>
      </c>
      <c r="I67" s="15">
        <v>3024</v>
      </c>
      <c r="J67" s="90">
        <v>2285</v>
      </c>
      <c r="K67" s="90">
        <v>184</v>
      </c>
      <c r="L67" s="90" t="s">
        <v>99</v>
      </c>
      <c r="M67" s="90" t="s">
        <v>87</v>
      </c>
      <c r="N67" s="90" t="s">
        <v>666</v>
      </c>
      <c r="O67" s="91">
        <f>(SUM(Table1[[#This Row],[Likes]],Table1[[#This Row],[Shares]],Table1[[#This Row],[Comments]])/Table1[[#This Row],[Impressions]] )</f>
        <v>0.29199735449735448</v>
      </c>
      <c r="P67" s="90" t="s">
        <v>87</v>
      </c>
      <c r="Q67" s="90">
        <f t="shared" si="1"/>
        <v>635</v>
      </c>
    </row>
    <row r="68" spans="1:17" ht="14.25" customHeight="1" x14ac:dyDescent="0.3">
      <c r="A68" s="15" t="s">
        <v>243</v>
      </c>
      <c r="B68" s="15" t="s">
        <v>1</v>
      </c>
      <c r="C68" s="48" t="s">
        <v>244</v>
      </c>
      <c r="D68" s="15" t="s">
        <v>102</v>
      </c>
      <c r="E68" s="15" t="s">
        <v>103</v>
      </c>
      <c r="F68" s="15">
        <v>4712</v>
      </c>
      <c r="G68" s="15">
        <v>568</v>
      </c>
      <c r="H68" s="15">
        <v>127</v>
      </c>
      <c r="I68" s="15">
        <v>84816</v>
      </c>
      <c r="J68" s="90">
        <v>84691</v>
      </c>
      <c r="K68" s="90">
        <v>100</v>
      </c>
      <c r="L68" s="90" t="s">
        <v>82</v>
      </c>
      <c r="M68" s="90" t="s">
        <v>137</v>
      </c>
      <c r="N68" s="90" t="s">
        <v>666</v>
      </c>
      <c r="O68" s="91">
        <f>(SUM(Table1[[#This Row],[Likes]],Table1[[#This Row],[Shares]],Table1[[#This Row],[Comments]])/Table1[[#This Row],[Impressions]] )</f>
        <v>6.3749764195434822E-2</v>
      </c>
      <c r="P68" s="90" t="s">
        <v>137</v>
      </c>
      <c r="Q68" s="90">
        <f t="shared" si="1"/>
        <v>795</v>
      </c>
    </row>
    <row r="69" spans="1:17" ht="14.25" customHeight="1" x14ac:dyDescent="0.3">
      <c r="A69" s="15" t="s">
        <v>245</v>
      </c>
      <c r="B69" s="15" t="s">
        <v>2</v>
      </c>
      <c r="C69" s="48" t="s">
        <v>246</v>
      </c>
      <c r="D69" s="15" t="s">
        <v>94</v>
      </c>
      <c r="E69" s="15" t="s">
        <v>95</v>
      </c>
      <c r="F69" s="15">
        <v>2610</v>
      </c>
      <c r="G69" s="15">
        <v>126</v>
      </c>
      <c r="H69" s="15">
        <v>288</v>
      </c>
      <c r="I69" s="15">
        <v>15660</v>
      </c>
      <c r="J69" s="90">
        <v>15145</v>
      </c>
      <c r="K69" s="90">
        <v>73</v>
      </c>
      <c r="L69" s="90" t="s">
        <v>82</v>
      </c>
      <c r="M69" s="90" t="s">
        <v>87</v>
      </c>
      <c r="N69" s="90" t="s">
        <v>666</v>
      </c>
      <c r="O69" s="91">
        <f>(SUM(Table1[[#This Row],[Likes]],Table1[[#This Row],[Shares]],Table1[[#This Row],[Comments]])/Table1[[#This Row],[Impressions]] )</f>
        <v>0.19310344827586207</v>
      </c>
      <c r="P69" s="90" t="s">
        <v>87</v>
      </c>
      <c r="Q69" s="90">
        <f t="shared" si="1"/>
        <v>487</v>
      </c>
    </row>
    <row r="70" spans="1:17" ht="14.25" customHeight="1" x14ac:dyDescent="0.3">
      <c r="A70" s="15" t="s">
        <v>247</v>
      </c>
      <c r="B70" s="15" t="s">
        <v>3</v>
      </c>
      <c r="C70" s="48" t="s">
        <v>191</v>
      </c>
      <c r="D70" s="15" t="s">
        <v>85</v>
      </c>
      <c r="E70" s="15" t="s">
        <v>86</v>
      </c>
      <c r="F70" s="15">
        <v>1292</v>
      </c>
      <c r="G70" s="15">
        <v>626</v>
      </c>
      <c r="H70" s="15">
        <v>496</v>
      </c>
      <c r="I70" s="15">
        <v>25840</v>
      </c>
      <c r="J70" s="90">
        <v>24916</v>
      </c>
      <c r="K70" s="90">
        <v>149</v>
      </c>
      <c r="L70" s="90" t="s">
        <v>115</v>
      </c>
      <c r="M70" s="90" t="s">
        <v>118</v>
      </c>
      <c r="N70" s="90" t="s">
        <v>104</v>
      </c>
      <c r="O70" s="91">
        <f>(SUM(Table1[[#This Row],[Likes]],Table1[[#This Row],[Shares]],Table1[[#This Row],[Comments]])/Table1[[#This Row],[Impressions]] )</f>
        <v>9.3421052631578946E-2</v>
      </c>
      <c r="P70" s="90" t="s">
        <v>147</v>
      </c>
      <c r="Q70" s="90">
        <f t="shared" si="1"/>
        <v>1271</v>
      </c>
    </row>
    <row r="71" spans="1:17" ht="14.25" customHeight="1" x14ac:dyDescent="0.3">
      <c r="A71" s="15" t="s">
        <v>248</v>
      </c>
      <c r="B71" s="15" t="s">
        <v>1</v>
      </c>
      <c r="C71" s="48" t="s">
        <v>249</v>
      </c>
      <c r="D71" s="15" t="s">
        <v>129</v>
      </c>
      <c r="E71" s="15" t="s">
        <v>130</v>
      </c>
      <c r="F71" s="15">
        <v>199</v>
      </c>
      <c r="G71" s="15">
        <v>772</v>
      </c>
      <c r="H71" s="15">
        <v>400</v>
      </c>
      <c r="I71" s="15">
        <v>3582</v>
      </c>
      <c r="J71" s="90">
        <v>2988</v>
      </c>
      <c r="K71" s="90">
        <v>43</v>
      </c>
      <c r="L71" s="90" t="s">
        <v>82</v>
      </c>
      <c r="M71" s="90" t="s">
        <v>104</v>
      </c>
      <c r="N71" s="90" t="s">
        <v>666</v>
      </c>
      <c r="O71" s="91">
        <f>(SUM(Table1[[#This Row],[Likes]],Table1[[#This Row],[Shares]],Table1[[#This Row],[Comments]])/Table1[[#This Row],[Impressions]] )</f>
        <v>0.38274706867671693</v>
      </c>
      <c r="P71" s="90" t="s">
        <v>104</v>
      </c>
      <c r="Q71" s="90">
        <f t="shared" si="1"/>
        <v>1215</v>
      </c>
    </row>
    <row r="72" spans="1:17" ht="14.25" customHeight="1" x14ac:dyDescent="0.3">
      <c r="A72" s="15" t="s">
        <v>250</v>
      </c>
      <c r="B72" s="15" t="s">
        <v>4</v>
      </c>
      <c r="C72" s="48" t="s">
        <v>251</v>
      </c>
      <c r="D72" s="15" t="s">
        <v>102</v>
      </c>
      <c r="E72" s="15" t="s">
        <v>103</v>
      </c>
      <c r="F72" s="15">
        <v>2551</v>
      </c>
      <c r="G72" s="15">
        <v>915</v>
      </c>
      <c r="H72" s="15">
        <v>205</v>
      </c>
      <c r="I72" s="15">
        <v>30612</v>
      </c>
      <c r="J72" s="90">
        <v>30360</v>
      </c>
      <c r="K72" s="90">
        <v>227</v>
      </c>
      <c r="L72" s="90" t="s">
        <v>88</v>
      </c>
      <c r="M72" s="90" t="s">
        <v>81</v>
      </c>
      <c r="N72" s="90" t="s">
        <v>137</v>
      </c>
      <c r="O72" s="91">
        <f>(SUM(Table1[[#This Row],[Likes]],Table1[[#This Row],[Shares]],Table1[[#This Row],[Comments]])/Table1[[#This Row],[Impressions]] )</f>
        <v>0.1199202926956749</v>
      </c>
      <c r="P72" s="90" t="s">
        <v>134</v>
      </c>
      <c r="Q72" s="90">
        <f t="shared" si="1"/>
        <v>1347</v>
      </c>
    </row>
    <row r="73" spans="1:17" ht="14.25" customHeight="1" x14ac:dyDescent="0.3">
      <c r="A73" s="15" t="s">
        <v>252</v>
      </c>
      <c r="B73" s="15" t="s">
        <v>4</v>
      </c>
      <c r="C73" s="48" t="s">
        <v>253</v>
      </c>
      <c r="D73" s="15" t="s">
        <v>79</v>
      </c>
      <c r="E73" s="15" t="s">
        <v>80</v>
      </c>
      <c r="F73" s="15">
        <v>296</v>
      </c>
      <c r="G73" s="15">
        <v>60</v>
      </c>
      <c r="H73" s="15">
        <v>141</v>
      </c>
      <c r="I73" s="15">
        <v>5624</v>
      </c>
      <c r="J73" s="90">
        <v>5239</v>
      </c>
      <c r="K73" s="90">
        <v>88</v>
      </c>
      <c r="L73" s="90" t="s">
        <v>115</v>
      </c>
      <c r="M73" s="90" t="s">
        <v>104</v>
      </c>
      <c r="N73" s="90" t="s">
        <v>666</v>
      </c>
      <c r="O73" s="91">
        <f>(SUM(Table1[[#This Row],[Likes]],Table1[[#This Row],[Shares]],Table1[[#This Row],[Comments]])/Table1[[#This Row],[Impressions]] )</f>
        <v>8.837126600284495E-2</v>
      </c>
      <c r="P73" s="90" t="s">
        <v>104</v>
      </c>
      <c r="Q73" s="90">
        <f t="shared" si="1"/>
        <v>289</v>
      </c>
    </row>
    <row r="74" spans="1:17" ht="14.25" customHeight="1" x14ac:dyDescent="0.3">
      <c r="A74" s="15" t="s">
        <v>254</v>
      </c>
      <c r="B74" s="15" t="s">
        <v>1</v>
      </c>
      <c r="C74" s="48" t="s">
        <v>255</v>
      </c>
      <c r="D74" s="15" t="s">
        <v>94</v>
      </c>
      <c r="E74" s="15" t="s">
        <v>95</v>
      </c>
      <c r="F74" s="15">
        <v>4126</v>
      </c>
      <c r="G74" s="15">
        <v>426</v>
      </c>
      <c r="H74" s="15">
        <v>486</v>
      </c>
      <c r="I74" s="15">
        <v>78394</v>
      </c>
      <c r="J74" s="90">
        <v>77798</v>
      </c>
      <c r="K74" s="90">
        <v>88</v>
      </c>
      <c r="L74" s="90" t="s">
        <v>82</v>
      </c>
      <c r="M74" s="90" t="s">
        <v>87</v>
      </c>
      <c r="N74" s="90" t="s">
        <v>666</v>
      </c>
      <c r="O74" s="91">
        <f>(SUM(Table1[[#This Row],[Likes]],Table1[[#This Row],[Shares]],Table1[[#This Row],[Comments]])/Table1[[#This Row],[Impressions]] )</f>
        <v>6.4265122330790625E-2</v>
      </c>
      <c r="P74" s="90" t="s">
        <v>87</v>
      </c>
      <c r="Q74" s="90">
        <f t="shared" si="1"/>
        <v>1000</v>
      </c>
    </row>
    <row r="75" spans="1:17" ht="14.25" customHeight="1" x14ac:dyDescent="0.3">
      <c r="A75" s="15" t="s">
        <v>256</v>
      </c>
      <c r="B75" s="15" t="s">
        <v>4</v>
      </c>
      <c r="C75" s="48" t="s">
        <v>257</v>
      </c>
      <c r="D75" s="15" t="s">
        <v>79</v>
      </c>
      <c r="E75" s="15" t="s">
        <v>80</v>
      </c>
      <c r="F75" s="15">
        <v>1855</v>
      </c>
      <c r="G75" s="15">
        <v>200</v>
      </c>
      <c r="H75" s="15">
        <v>174</v>
      </c>
      <c r="I75" s="15">
        <v>16695</v>
      </c>
      <c r="J75" s="90">
        <v>16330</v>
      </c>
      <c r="K75" s="90">
        <v>123</v>
      </c>
      <c r="L75" s="90" t="s">
        <v>99</v>
      </c>
      <c r="M75" s="90" t="s">
        <v>87</v>
      </c>
      <c r="N75" s="90" t="s">
        <v>666</v>
      </c>
      <c r="O75" s="91">
        <f>(SUM(Table1[[#This Row],[Likes]],Table1[[#This Row],[Shares]],Table1[[#This Row],[Comments]])/Table1[[#This Row],[Impressions]] )</f>
        <v>0.13351302785265048</v>
      </c>
      <c r="P75" s="90" t="s">
        <v>87</v>
      </c>
      <c r="Q75" s="90">
        <f t="shared" si="1"/>
        <v>497</v>
      </c>
    </row>
    <row r="76" spans="1:17" ht="14.25" customHeight="1" x14ac:dyDescent="0.3">
      <c r="A76" s="15" t="s">
        <v>258</v>
      </c>
      <c r="B76" s="15" t="s">
        <v>2</v>
      </c>
      <c r="C76" s="48" t="s">
        <v>259</v>
      </c>
      <c r="D76" s="15" t="s">
        <v>79</v>
      </c>
      <c r="E76" s="15" t="s">
        <v>80</v>
      </c>
      <c r="F76" s="15">
        <v>1674</v>
      </c>
      <c r="G76" s="15">
        <v>929</v>
      </c>
      <c r="H76" s="15">
        <v>37</v>
      </c>
      <c r="I76" s="15">
        <v>21762</v>
      </c>
      <c r="J76" s="90">
        <v>20998</v>
      </c>
      <c r="K76" s="90">
        <v>255</v>
      </c>
      <c r="L76" s="90" t="s">
        <v>99</v>
      </c>
      <c r="M76" s="90" t="s">
        <v>118</v>
      </c>
      <c r="N76" s="90" t="s">
        <v>137</v>
      </c>
      <c r="O76" s="91">
        <f>(SUM(Table1[[#This Row],[Likes]],Table1[[#This Row],[Shares]],Table1[[#This Row],[Comments]])/Table1[[#This Row],[Impressions]] )</f>
        <v>0.12131237937689551</v>
      </c>
      <c r="P76" s="90" t="s">
        <v>222</v>
      </c>
      <c r="Q76" s="90">
        <f t="shared" si="1"/>
        <v>1221</v>
      </c>
    </row>
    <row r="77" spans="1:17" ht="14.25" customHeight="1" x14ac:dyDescent="0.3">
      <c r="A77" s="15" t="s">
        <v>260</v>
      </c>
      <c r="B77" s="15" t="s">
        <v>3</v>
      </c>
      <c r="C77" s="48" t="s">
        <v>261</v>
      </c>
      <c r="D77" s="15" t="s">
        <v>94</v>
      </c>
      <c r="E77" s="15" t="s">
        <v>95</v>
      </c>
      <c r="F77" s="15">
        <v>1121</v>
      </c>
      <c r="G77" s="15">
        <v>135</v>
      </c>
      <c r="H77" s="15">
        <v>18</v>
      </c>
      <c r="I77" s="15">
        <v>15694</v>
      </c>
      <c r="J77" s="90">
        <v>14957</v>
      </c>
      <c r="K77" s="90">
        <v>99</v>
      </c>
      <c r="L77" s="90" t="s">
        <v>115</v>
      </c>
      <c r="M77" s="90" t="s">
        <v>81</v>
      </c>
      <c r="N77" s="90" t="s">
        <v>87</v>
      </c>
      <c r="O77" s="91">
        <f>(SUM(Table1[[#This Row],[Likes]],Table1[[#This Row],[Shares]],Table1[[#This Row],[Comments]])/Table1[[#This Row],[Impressions]] )</f>
        <v>8.1177520071364848E-2</v>
      </c>
      <c r="P77" s="90" t="s">
        <v>126</v>
      </c>
      <c r="Q77" s="90">
        <f t="shared" si="1"/>
        <v>252</v>
      </c>
    </row>
    <row r="78" spans="1:17" ht="14.25" customHeight="1" x14ac:dyDescent="0.3">
      <c r="A78" s="15" t="s">
        <v>262</v>
      </c>
      <c r="B78" s="15" t="s">
        <v>1</v>
      </c>
      <c r="C78" s="48" t="s">
        <v>161</v>
      </c>
      <c r="D78" s="15" t="s">
        <v>94</v>
      </c>
      <c r="E78" s="15" t="s">
        <v>95</v>
      </c>
      <c r="F78" s="15">
        <v>1249</v>
      </c>
      <c r="G78" s="15">
        <v>116</v>
      </c>
      <c r="H78" s="15">
        <v>420</v>
      </c>
      <c r="I78" s="15">
        <v>8743</v>
      </c>
      <c r="J78" s="90">
        <v>8538</v>
      </c>
      <c r="K78" s="90">
        <v>63</v>
      </c>
      <c r="L78" s="90" t="s">
        <v>99</v>
      </c>
      <c r="M78" s="90" t="s">
        <v>87</v>
      </c>
      <c r="N78" s="90" t="s">
        <v>137</v>
      </c>
      <c r="O78" s="91">
        <f>(SUM(Table1[[#This Row],[Likes]],Table1[[#This Row],[Shares]],Table1[[#This Row],[Comments]])/Table1[[#This Row],[Impressions]] )</f>
        <v>0.20416333066453163</v>
      </c>
      <c r="P78" s="90" t="s">
        <v>131</v>
      </c>
      <c r="Q78" s="90">
        <f t="shared" si="1"/>
        <v>599</v>
      </c>
    </row>
    <row r="79" spans="1:17" ht="14.25" customHeight="1" x14ac:dyDescent="0.3">
      <c r="A79" s="15" t="s">
        <v>263</v>
      </c>
      <c r="B79" s="15" t="s">
        <v>3</v>
      </c>
      <c r="C79" s="48" t="s">
        <v>219</v>
      </c>
      <c r="D79" s="15" t="s">
        <v>109</v>
      </c>
      <c r="E79" s="15" t="s">
        <v>110</v>
      </c>
      <c r="F79" s="15">
        <v>954</v>
      </c>
      <c r="G79" s="15">
        <v>324</v>
      </c>
      <c r="H79" s="15">
        <v>288</v>
      </c>
      <c r="I79" s="15">
        <v>19080</v>
      </c>
      <c r="J79" s="90">
        <v>18859</v>
      </c>
      <c r="K79" s="90">
        <v>21</v>
      </c>
      <c r="L79" s="90" t="s">
        <v>99</v>
      </c>
      <c r="M79" s="90" t="s">
        <v>104</v>
      </c>
      <c r="N79" s="90" t="s">
        <v>666</v>
      </c>
      <c r="O79" s="91">
        <f>(SUM(Table1[[#This Row],[Likes]],Table1[[#This Row],[Shares]],Table1[[#This Row],[Comments]])/Table1[[#This Row],[Impressions]] )</f>
        <v>8.2075471698113203E-2</v>
      </c>
      <c r="P79" s="90" t="s">
        <v>104</v>
      </c>
      <c r="Q79" s="90">
        <f t="shared" si="1"/>
        <v>633</v>
      </c>
    </row>
    <row r="80" spans="1:17" ht="14.25" customHeight="1" x14ac:dyDescent="0.3">
      <c r="A80" s="15" t="s">
        <v>264</v>
      </c>
      <c r="B80" s="15" t="s">
        <v>2</v>
      </c>
      <c r="C80" s="48" t="s">
        <v>265</v>
      </c>
      <c r="D80" s="15" t="s">
        <v>102</v>
      </c>
      <c r="E80" s="15" t="s">
        <v>103</v>
      </c>
      <c r="F80" s="15">
        <v>3068</v>
      </c>
      <c r="G80" s="15">
        <v>137</v>
      </c>
      <c r="H80" s="15">
        <v>329</v>
      </c>
      <c r="I80" s="15">
        <v>39884</v>
      </c>
      <c r="J80" s="90">
        <v>39404</v>
      </c>
      <c r="K80" s="90">
        <v>266</v>
      </c>
      <c r="L80" s="90" t="s">
        <v>99</v>
      </c>
      <c r="M80" s="90" t="s">
        <v>81</v>
      </c>
      <c r="N80" s="90" t="s">
        <v>104</v>
      </c>
      <c r="O80" s="91">
        <f>(SUM(Table1[[#This Row],[Likes]],Table1[[#This Row],[Shares]],Table1[[#This Row],[Comments]])/Table1[[#This Row],[Impressions]] )</f>
        <v>8.860696018453515E-2</v>
      </c>
      <c r="P80" s="90" t="s">
        <v>162</v>
      </c>
      <c r="Q80" s="90">
        <f t="shared" si="1"/>
        <v>732</v>
      </c>
    </row>
    <row r="81" spans="1:17" ht="14.25" customHeight="1" x14ac:dyDescent="0.3">
      <c r="A81" s="15" t="s">
        <v>266</v>
      </c>
      <c r="B81" s="15" t="s">
        <v>2</v>
      </c>
      <c r="C81" s="48" t="s">
        <v>212</v>
      </c>
      <c r="D81" s="15" t="s">
        <v>94</v>
      </c>
      <c r="E81" s="15" t="s">
        <v>95</v>
      </c>
      <c r="F81" s="15">
        <v>2103</v>
      </c>
      <c r="G81" s="15">
        <v>892</v>
      </c>
      <c r="H81" s="15">
        <v>103</v>
      </c>
      <c r="I81" s="15">
        <v>39957</v>
      </c>
      <c r="J81" s="90">
        <v>39466</v>
      </c>
      <c r="K81" s="90">
        <v>28</v>
      </c>
      <c r="L81" s="90" t="s">
        <v>88</v>
      </c>
      <c r="M81" s="90" t="s">
        <v>137</v>
      </c>
      <c r="N81" s="90" t="s">
        <v>87</v>
      </c>
      <c r="O81" s="91">
        <f>(SUM(Table1[[#This Row],[Likes]],Table1[[#This Row],[Shares]],Table1[[#This Row],[Comments]])/Table1[[#This Row],[Impressions]] )</f>
        <v>7.7533348349475686E-2</v>
      </c>
      <c r="P81" s="90" t="s">
        <v>204</v>
      </c>
      <c r="Q81" s="90">
        <f t="shared" si="1"/>
        <v>1023</v>
      </c>
    </row>
    <row r="82" spans="1:17" ht="14.25" customHeight="1" x14ac:dyDescent="0.3">
      <c r="A82" s="15" t="s">
        <v>267</v>
      </c>
      <c r="B82" s="15" t="s">
        <v>2</v>
      </c>
      <c r="C82" s="48" t="s">
        <v>268</v>
      </c>
      <c r="D82" s="15" t="s">
        <v>94</v>
      </c>
      <c r="E82" s="15" t="s">
        <v>95</v>
      </c>
      <c r="F82" s="15">
        <v>1816</v>
      </c>
      <c r="G82" s="15">
        <v>29</v>
      </c>
      <c r="H82" s="15">
        <v>41</v>
      </c>
      <c r="I82" s="15">
        <v>19976</v>
      </c>
      <c r="J82" s="90">
        <v>19262</v>
      </c>
      <c r="K82" s="90">
        <v>283</v>
      </c>
      <c r="L82" s="90" t="s">
        <v>99</v>
      </c>
      <c r="M82" s="90" t="s">
        <v>104</v>
      </c>
      <c r="N82" s="90" t="s">
        <v>81</v>
      </c>
      <c r="O82" s="91">
        <f>(SUM(Table1[[#This Row],[Likes]],Table1[[#This Row],[Shares]],Table1[[#This Row],[Comments]])/Table1[[#This Row],[Impressions]] )</f>
        <v>9.4413295955146179E-2</v>
      </c>
      <c r="P82" s="90" t="s">
        <v>269</v>
      </c>
      <c r="Q82" s="90">
        <f t="shared" si="1"/>
        <v>353</v>
      </c>
    </row>
    <row r="83" spans="1:17" ht="14.25" customHeight="1" x14ac:dyDescent="0.3">
      <c r="A83" s="15" t="s">
        <v>270</v>
      </c>
      <c r="B83" s="15" t="s">
        <v>2</v>
      </c>
      <c r="C83" s="48" t="s">
        <v>271</v>
      </c>
      <c r="D83" s="15" t="s">
        <v>109</v>
      </c>
      <c r="E83" s="15" t="s">
        <v>110</v>
      </c>
      <c r="F83" s="15">
        <v>725</v>
      </c>
      <c r="G83" s="15">
        <v>88</v>
      </c>
      <c r="H83" s="15">
        <v>428</v>
      </c>
      <c r="I83" s="15">
        <v>14500</v>
      </c>
      <c r="J83" s="90">
        <v>13637</v>
      </c>
      <c r="K83" s="90">
        <v>200</v>
      </c>
      <c r="L83" s="90" t="s">
        <v>99</v>
      </c>
      <c r="M83" s="90" t="s">
        <v>104</v>
      </c>
      <c r="N83" s="90" t="s">
        <v>666</v>
      </c>
      <c r="O83" s="91">
        <f>(SUM(Table1[[#This Row],[Likes]],Table1[[#This Row],[Shares]],Table1[[#This Row],[Comments]])/Table1[[#This Row],[Impressions]] )</f>
        <v>8.558620689655172E-2</v>
      </c>
      <c r="P83" s="90" t="s">
        <v>104</v>
      </c>
      <c r="Q83" s="90">
        <f t="shared" si="1"/>
        <v>716</v>
      </c>
    </row>
    <row r="84" spans="1:17" ht="14.25" customHeight="1" x14ac:dyDescent="0.3">
      <c r="A84" s="15" t="s">
        <v>272</v>
      </c>
      <c r="B84" s="15" t="s">
        <v>4</v>
      </c>
      <c r="C84" s="48" t="s">
        <v>273</v>
      </c>
      <c r="D84" s="15" t="s">
        <v>129</v>
      </c>
      <c r="E84" s="15" t="s">
        <v>130</v>
      </c>
      <c r="F84" s="15">
        <v>1094</v>
      </c>
      <c r="G84" s="15">
        <v>472</v>
      </c>
      <c r="H84" s="15">
        <v>21</v>
      </c>
      <c r="I84" s="15">
        <v>9846</v>
      </c>
      <c r="J84" s="90">
        <v>9609</v>
      </c>
      <c r="K84" s="90">
        <v>112</v>
      </c>
      <c r="L84" s="90" t="s">
        <v>99</v>
      </c>
      <c r="M84" s="90" t="s">
        <v>104</v>
      </c>
      <c r="N84" s="90" t="s">
        <v>118</v>
      </c>
      <c r="O84" s="91">
        <f>(SUM(Table1[[#This Row],[Likes]],Table1[[#This Row],[Shares]],Table1[[#This Row],[Comments]])/Table1[[#This Row],[Impressions]] )</f>
        <v>0.16118220597196831</v>
      </c>
      <c r="P84" s="90" t="s">
        <v>274</v>
      </c>
      <c r="Q84" s="90">
        <f t="shared" si="1"/>
        <v>605</v>
      </c>
    </row>
    <row r="85" spans="1:17" ht="14.25" customHeight="1" x14ac:dyDescent="0.3">
      <c r="A85" s="15" t="s">
        <v>275</v>
      </c>
      <c r="B85" s="15" t="s">
        <v>1</v>
      </c>
      <c r="C85" s="48" t="s">
        <v>276</v>
      </c>
      <c r="D85" s="15" t="s">
        <v>109</v>
      </c>
      <c r="E85" s="15" t="s">
        <v>110</v>
      </c>
      <c r="F85" s="15">
        <v>1841</v>
      </c>
      <c r="G85" s="15">
        <v>851</v>
      </c>
      <c r="H85" s="15">
        <v>342</v>
      </c>
      <c r="I85" s="15">
        <v>34979</v>
      </c>
      <c r="J85" s="90">
        <v>34154</v>
      </c>
      <c r="K85" s="90">
        <v>255</v>
      </c>
      <c r="L85" s="90" t="s">
        <v>82</v>
      </c>
      <c r="M85" s="90" t="s">
        <v>87</v>
      </c>
      <c r="N85" s="90" t="s">
        <v>137</v>
      </c>
      <c r="O85" s="91">
        <f>(SUM(Table1[[#This Row],[Likes]],Table1[[#This Row],[Shares]],Table1[[#This Row],[Comments]])/Table1[[#This Row],[Impressions]] )</f>
        <v>8.6737756939878216E-2</v>
      </c>
      <c r="P85" s="90" t="s">
        <v>131</v>
      </c>
      <c r="Q85" s="90">
        <f t="shared" si="1"/>
        <v>1448</v>
      </c>
    </row>
    <row r="86" spans="1:17" ht="14.25" customHeight="1" x14ac:dyDescent="0.3">
      <c r="A86" s="15" t="s">
        <v>277</v>
      </c>
      <c r="B86" s="15" t="s">
        <v>2</v>
      </c>
      <c r="C86" s="48" t="s">
        <v>180</v>
      </c>
      <c r="D86" s="15" t="s">
        <v>109</v>
      </c>
      <c r="E86" s="15" t="s">
        <v>110</v>
      </c>
      <c r="F86" s="15">
        <v>4177</v>
      </c>
      <c r="G86" s="15">
        <v>569</v>
      </c>
      <c r="H86" s="15">
        <v>55</v>
      </c>
      <c r="I86" s="15">
        <v>25062</v>
      </c>
      <c r="J86" s="90">
        <v>24847</v>
      </c>
      <c r="K86" s="90">
        <v>230</v>
      </c>
      <c r="L86" s="90" t="s">
        <v>82</v>
      </c>
      <c r="M86" s="90" t="s">
        <v>87</v>
      </c>
      <c r="N86" s="90" t="s">
        <v>666</v>
      </c>
      <c r="O86" s="91">
        <f>(SUM(Table1[[#This Row],[Likes]],Table1[[#This Row],[Shares]],Table1[[#This Row],[Comments]])/Table1[[#This Row],[Impressions]] )</f>
        <v>0.19156491900087783</v>
      </c>
      <c r="P86" s="90" t="s">
        <v>87</v>
      </c>
      <c r="Q86" s="90">
        <f t="shared" si="1"/>
        <v>854</v>
      </c>
    </row>
    <row r="87" spans="1:17" ht="14.25" customHeight="1" x14ac:dyDescent="0.3">
      <c r="A87" s="15" t="s">
        <v>278</v>
      </c>
      <c r="B87" s="15" t="s">
        <v>4</v>
      </c>
      <c r="C87" s="48" t="s">
        <v>279</v>
      </c>
      <c r="D87" s="15" t="s">
        <v>85</v>
      </c>
      <c r="E87" s="15" t="s">
        <v>86</v>
      </c>
      <c r="F87" s="15">
        <v>3428</v>
      </c>
      <c r="G87" s="15">
        <v>305</v>
      </c>
      <c r="H87" s="15">
        <v>85</v>
      </c>
      <c r="I87" s="15">
        <v>58276</v>
      </c>
      <c r="J87" s="90">
        <v>58052</v>
      </c>
      <c r="K87" s="90">
        <v>242</v>
      </c>
      <c r="L87" s="90" t="s">
        <v>99</v>
      </c>
      <c r="M87" s="90" t="s">
        <v>104</v>
      </c>
      <c r="N87" s="90" t="s">
        <v>118</v>
      </c>
      <c r="O87" s="91">
        <f>(SUM(Table1[[#This Row],[Likes]],Table1[[#This Row],[Shares]],Table1[[#This Row],[Comments]])/Table1[[#This Row],[Impressions]] )</f>
        <v>6.5515821264328367E-2</v>
      </c>
      <c r="P87" s="90" t="s">
        <v>274</v>
      </c>
      <c r="Q87" s="90">
        <f t="shared" si="1"/>
        <v>632</v>
      </c>
    </row>
    <row r="88" spans="1:17" ht="14.25" customHeight="1" x14ac:dyDescent="0.3">
      <c r="A88" s="15" t="s">
        <v>280</v>
      </c>
      <c r="B88" s="15" t="s">
        <v>3</v>
      </c>
      <c r="C88" s="48" t="s">
        <v>281</v>
      </c>
      <c r="D88" s="15" t="s">
        <v>129</v>
      </c>
      <c r="E88" s="15" t="s">
        <v>130</v>
      </c>
      <c r="F88" s="15">
        <v>1436</v>
      </c>
      <c r="G88" s="15">
        <v>765</v>
      </c>
      <c r="H88" s="15">
        <v>496</v>
      </c>
      <c r="I88" s="15">
        <v>12924</v>
      </c>
      <c r="J88" s="90">
        <v>12701</v>
      </c>
      <c r="K88" s="90">
        <v>197</v>
      </c>
      <c r="L88" s="90" t="s">
        <v>88</v>
      </c>
      <c r="M88" s="90" t="s">
        <v>104</v>
      </c>
      <c r="N88" s="90" t="s">
        <v>81</v>
      </c>
      <c r="O88" s="91">
        <f>(SUM(Table1[[#This Row],[Likes]],Table1[[#This Row],[Shares]],Table1[[#This Row],[Comments]])/Table1[[#This Row],[Impressions]] )</f>
        <v>0.20868152274837512</v>
      </c>
      <c r="P88" s="90" t="s">
        <v>269</v>
      </c>
      <c r="Q88" s="90">
        <f t="shared" si="1"/>
        <v>1458</v>
      </c>
    </row>
    <row r="89" spans="1:17" ht="14.25" customHeight="1" x14ac:dyDescent="0.3">
      <c r="A89" s="15" t="s">
        <v>282</v>
      </c>
      <c r="B89" s="15" t="s">
        <v>1</v>
      </c>
      <c r="C89" s="48" t="s">
        <v>283</v>
      </c>
      <c r="D89" s="15" t="s">
        <v>94</v>
      </c>
      <c r="E89" s="15" t="s">
        <v>95</v>
      </c>
      <c r="F89" s="15">
        <v>302</v>
      </c>
      <c r="G89" s="15">
        <v>47</v>
      </c>
      <c r="H89" s="15">
        <v>430</v>
      </c>
      <c r="I89" s="15">
        <v>5738</v>
      </c>
      <c r="J89" s="90">
        <v>4890</v>
      </c>
      <c r="K89" s="90">
        <v>25</v>
      </c>
      <c r="L89" s="90" t="s">
        <v>88</v>
      </c>
      <c r="M89" s="90" t="s">
        <v>87</v>
      </c>
      <c r="N89" s="90" t="s">
        <v>81</v>
      </c>
      <c r="O89" s="91">
        <f>(SUM(Table1[[#This Row],[Likes]],Table1[[#This Row],[Shares]],Table1[[#This Row],[Comments]])/Table1[[#This Row],[Impressions]] )</f>
        <v>0.13576158940397351</v>
      </c>
      <c r="P89" s="90" t="s">
        <v>91</v>
      </c>
      <c r="Q89" s="90">
        <f t="shared" si="1"/>
        <v>502</v>
      </c>
    </row>
    <row r="90" spans="1:17" ht="14.25" customHeight="1" x14ac:dyDescent="0.3">
      <c r="A90" s="15" t="s">
        <v>284</v>
      </c>
      <c r="B90" s="15" t="s">
        <v>3</v>
      </c>
      <c r="C90" s="48" t="s">
        <v>285</v>
      </c>
      <c r="D90" s="15" t="s">
        <v>109</v>
      </c>
      <c r="E90" s="15" t="s">
        <v>110</v>
      </c>
      <c r="F90" s="15">
        <v>2214</v>
      </c>
      <c r="G90" s="15">
        <v>249</v>
      </c>
      <c r="H90" s="15">
        <v>152</v>
      </c>
      <c r="I90" s="15">
        <v>15498</v>
      </c>
      <c r="J90" s="90">
        <v>14800</v>
      </c>
      <c r="K90" s="90">
        <v>180</v>
      </c>
      <c r="L90" s="90" t="s">
        <v>88</v>
      </c>
      <c r="M90" s="90" t="s">
        <v>81</v>
      </c>
      <c r="N90" s="90" t="s">
        <v>666</v>
      </c>
      <c r="O90" s="91">
        <f>(SUM(Table1[[#This Row],[Likes]],Table1[[#This Row],[Shares]],Table1[[#This Row],[Comments]])/Table1[[#This Row],[Impressions]] )</f>
        <v>0.16873144921925409</v>
      </c>
      <c r="P90" s="90" t="s">
        <v>81</v>
      </c>
      <c r="Q90" s="90">
        <f t="shared" si="1"/>
        <v>581</v>
      </c>
    </row>
    <row r="91" spans="1:17" ht="14.25" customHeight="1" x14ac:dyDescent="0.3">
      <c r="A91" s="15" t="s">
        <v>286</v>
      </c>
      <c r="B91" s="15" t="s">
        <v>2</v>
      </c>
      <c r="C91" s="48" t="s">
        <v>287</v>
      </c>
      <c r="D91" s="15" t="s">
        <v>109</v>
      </c>
      <c r="E91" s="15" t="s">
        <v>110</v>
      </c>
      <c r="F91" s="15">
        <v>3861</v>
      </c>
      <c r="G91" s="15">
        <v>960</v>
      </c>
      <c r="H91" s="15">
        <v>101</v>
      </c>
      <c r="I91" s="15">
        <v>69498</v>
      </c>
      <c r="J91" s="90">
        <v>68817</v>
      </c>
      <c r="K91" s="90">
        <v>297</v>
      </c>
      <c r="L91" s="90" t="s">
        <v>88</v>
      </c>
      <c r="M91" s="90" t="s">
        <v>87</v>
      </c>
      <c r="N91" s="90" t="s">
        <v>666</v>
      </c>
      <c r="O91" s="91">
        <f>(SUM(Table1[[#This Row],[Likes]],Table1[[#This Row],[Shares]],Table1[[#This Row],[Comments]])/Table1[[#This Row],[Impressions]] )</f>
        <v>7.0822181933293038E-2</v>
      </c>
      <c r="P91" s="90" t="s">
        <v>87</v>
      </c>
      <c r="Q91" s="90">
        <f t="shared" si="1"/>
        <v>1358</v>
      </c>
    </row>
    <row r="92" spans="1:17" ht="14.25" customHeight="1" x14ac:dyDescent="0.3">
      <c r="A92" s="15" t="s">
        <v>288</v>
      </c>
      <c r="B92" s="15" t="s">
        <v>1</v>
      </c>
      <c r="C92" s="48" t="s">
        <v>289</v>
      </c>
      <c r="D92" s="15" t="s">
        <v>109</v>
      </c>
      <c r="E92" s="15" t="s">
        <v>110</v>
      </c>
      <c r="F92" s="15">
        <v>1263</v>
      </c>
      <c r="G92" s="15">
        <v>397</v>
      </c>
      <c r="H92" s="15">
        <v>357</v>
      </c>
      <c r="I92" s="15">
        <v>25260</v>
      </c>
      <c r="J92" s="90">
        <v>24615</v>
      </c>
      <c r="K92" s="90">
        <v>137</v>
      </c>
      <c r="L92" s="90" t="s">
        <v>88</v>
      </c>
      <c r="M92" s="90" t="s">
        <v>81</v>
      </c>
      <c r="N92" s="90" t="s">
        <v>666</v>
      </c>
      <c r="O92" s="91">
        <f>(SUM(Table1[[#This Row],[Likes]],Table1[[#This Row],[Shares]],Table1[[#This Row],[Comments]])/Table1[[#This Row],[Impressions]] )</f>
        <v>7.984956452889945E-2</v>
      </c>
      <c r="P92" s="90" t="s">
        <v>81</v>
      </c>
      <c r="Q92" s="90">
        <f t="shared" si="1"/>
        <v>891</v>
      </c>
    </row>
    <row r="93" spans="1:17" ht="14.25" customHeight="1" x14ac:dyDescent="0.3">
      <c r="A93" s="15" t="s">
        <v>290</v>
      </c>
      <c r="B93" s="15" t="s">
        <v>3</v>
      </c>
      <c r="C93" s="48" t="s">
        <v>224</v>
      </c>
      <c r="D93" s="15" t="s">
        <v>94</v>
      </c>
      <c r="E93" s="15" t="s">
        <v>95</v>
      </c>
      <c r="F93" s="15">
        <v>3801</v>
      </c>
      <c r="G93" s="15">
        <v>967</v>
      </c>
      <c r="H93" s="15">
        <v>401</v>
      </c>
      <c r="I93" s="15">
        <v>38010</v>
      </c>
      <c r="J93" s="90">
        <v>37625</v>
      </c>
      <c r="K93" s="90">
        <v>236</v>
      </c>
      <c r="L93" s="90" t="s">
        <v>115</v>
      </c>
      <c r="M93" s="90" t="s">
        <v>118</v>
      </c>
      <c r="N93" s="90" t="s">
        <v>666</v>
      </c>
      <c r="O93" s="91">
        <f>(SUM(Table1[[#This Row],[Likes]],Table1[[#This Row],[Shares]],Table1[[#This Row],[Comments]])/Table1[[#This Row],[Impressions]] )</f>
        <v>0.13599052880820836</v>
      </c>
      <c r="P93" s="90" t="s">
        <v>118</v>
      </c>
      <c r="Q93" s="90">
        <f t="shared" si="1"/>
        <v>1604</v>
      </c>
    </row>
    <row r="94" spans="1:17" ht="14.25" customHeight="1" x14ac:dyDescent="0.3">
      <c r="A94" s="15" t="s">
        <v>291</v>
      </c>
      <c r="B94" s="15" t="s">
        <v>2</v>
      </c>
      <c r="C94" s="48" t="s">
        <v>292</v>
      </c>
      <c r="D94" s="15" t="s">
        <v>129</v>
      </c>
      <c r="E94" s="15" t="s">
        <v>130</v>
      </c>
      <c r="F94" s="15">
        <v>1431</v>
      </c>
      <c r="G94" s="15">
        <v>951</v>
      </c>
      <c r="H94" s="15">
        <v>26</v>
      </c>
      <c r="I94" s="15">
        <v>8586</v>
      </c>
      <c r="J94" s="90">
        <v>8396</v>
      </c>
      <c r="K94" s="90">
        <v>150</v>
      </c>
      <c r="L94" s="90" t="s">
        <v>82</v>
      </c>
      <c r="M94" s="90" t="s">
        <v>104</v>
      </c>
      <c r="N94" s="90" t="s">
        <v>137</v>
      </c>
      <c r="O94" s="91">
        <f>(SUM(Table1[[#This Row],[Likes]],Table1[[#This Row],[Shares]],Table1[[#This Row],[Comments]])/Table1[[#This Row],[Impressions]] )</f>
        <v>0.28045655718611695</v>
      </c>
      <c r="P94" s="90" t="s">
        <v>176</v>
      </c>
      <c r="Q94" s="90">
        <f t="shared" si="1"/>
        <v>1127</v>
      </c>
    </row>
    <row r="95" spans="1:17" ht="14.25" customHeight="1" x14ac:dyDescent="0.3">
      <c r="A95" s="15" t="s">
        <v>293</v>
      </c>
      <c r="B95" s="15" t="s">
        <v>2</v>
      </c>
      <c r="C95" s="48" t="s">
        <v>261</v>
      </c>
      <c r="D95" s="15" t="s">
        <v>109</v>
      </c>
      <c r="E95" s="15" t="s">
        <v>110</v>
      </c>
      <c r="F95" s="15">
        <v>2647</v>
      </c>
      <c r="G95" s="15">
        <v>304</v>
      </c>
      <c r="H95" s="15">
        <v>170</v>
      </c>
      <c r="I95" s="15">
        <v>18529</v>
      </c>
      <c r="J95" s="90">
        <v>17841</v>
      </c>
      <c r="K95" s="90">
        <v>46</v>
      </c>
      <c r="L95" s="90" t="s">
        <v>88</v>
      </c>
      <c r="M95" s="90" t="s">
        <v>118</v>
      </c>
      <c r="N95" s="90" t="s">
        <v>666</v>
      </c>
      <c r="O95" s="91">
        <f>(SUM(Table1[[#This Row],[Likes]],Table1[[#This Row],[Shares]],Table1[[#This Row],[Comments]])/Table1[[#This Row],[Impressions]] )</f>
        <v>0.16843866371633656</v>
      </c>
      <c r="P95" s="90" t="s">
        <v>118</v>
      </c>
      <c r="Q95" s="90">
        <f t="shared" si="1"/>
        <v>520</v>
      </c>
    </row>
    <row r="96" spans="1:17" ht="14.25" customHeight="1" x14ac:dyDescent="0.3">
      <c r="A96" s="15" t="s">
        <v>294</v>
      </c>
      <c r="B96" s="15" t="s">
        <v>2</v>
      </c>
      <c r="C96" s="48" t="s">
        <v>295</v>
      </c>
      <c r="D96" s="15" t="s">
        <v>85</v>
      </c>
      <c r="E96" s="15" t="s">
        <v>86</v>
      </c>
      <c r="F96" s="15">
        <v>3182</v>
      </c>
      <c r="G96" s="15">
        <v>559</v>
      </c>
      <c r="H96" s="15">
        <v>160</v>
      </c>
      <c r="I96" s="15">
        <v>57276</v>
      </c>
      <c r="J96" s="90">
        <v>56890</v>
      </c>
      <c r="K96" s="90">
        <v>163</v>
      </c>
      <c r="L96" s="90" t="s">
        <v>88</v>
      </c>
      <c r="M96" s="90" t="s">
        <v>118</v>
      </c>
      <c r="N96" s="90" t="s">
        <v>104</v>
      </c>
      <c r="O96" s="91">
        <f>(SUM(Table1[[#This Row],[Likes]],Table1[[#This Row],[Shares]],Table1[[#This Row],[Comments]])/Table1[[#This Row],[Impressions]] )</f>
        <v>6.8108806480899509E-2</v>
      </c>
      <c r="P96" s="90" t="s">
        <v>147</v>
      </c>
      <c r="Q96" s="90">
        <f t="shared" si="1"/>
        <v>882</v>
      </c>
    </row>
    <row r="97" spans="1:17" ht="14.25" customHeight="1" x14ac:dyDescent="0.3">
      <c r="A97" s="15" t="s">
        <v>296</v>
      </c>
      <c r="B97" s="15" t="s">
        <v>3</v>
      </c>
      <c r="C97" s="48" t="s">
        <v>297</v>
      </c>
      <c r="D97" s="15" t="s">
        <v>109</v>
      </c>
      <c r="E97" s="15" t="s">
        <v>110</v>
      </c>
      <c r="F97" s="15">
        <v>1238</v>
      </c>
      <c r="G97" s="15">
        <v>366</v>
      </c>
      <c r="H97" s="15">
        <v>444</v>
      </c>
      <c r="I97" s="15">
        <v>19808</v>
      </c>
      <c r="J97" s="90">
        <v>19334</v>
      </c>
      <c r="K97" s="90">
        <v>123</v>
      </c>
      <c r="L97" s="90" t="s">
        <v>99</v>
      </c>
      <c r="M97" s="90" t="s">
        <v>137</v>
      </c>
      <c r="N97" s="90" t="s">
        <v>666</v>
      </c>
      <c r="O97" s="91">
        <f>(SUM(Table1[[#This Row],[Likes]],Table1[[#This Row],[Shares]],Table1[[#This Row],[Comments]])/Table1[[#This Row],[Impressions]] )</f>
        <v>0.10339256865912763</v>
      </c>
      <c r="P97" s="90" t="s">
        <v>137</v>
      </c>
      <c r="Q97" s="90">
        <f t="shared" si="1"/>
        <v>933</v>
      </c>
    </row>
    <row r="98" spans="1:17" ht="14.25" customHeight="1" x14ac:dyDescent="0.3">
      <c r="A98" s="15" t="s">
        <v>298</v>
      </c>
      <c r="B98" s="15" t="s">
        <v>2</v>
      </c>
      <c r="C98" s="48" t="s">
        <v>299</v>
      </c>
      <c r="D98" s="15" t="s">
        <v>109</v>
      </c>
      <c r="E98" s="15" t="s">
        <v>110</v>
      </c>
      <c r="F98" s="15">
        <v>4739</v>
      </c>
      <c r="G98" s="15">
        <v>527</v>
      </c>
      <c r="H98" s="15">
        <v>135</v>
      </c>
      <c r="I98" s="15">
        <v>61607</v>
      </c>
      <c r="J98" s="90">
        <v>61333</v>
      </c>
      <c r="K98" s="90">
        <v>36</v>
      </c>
      <c r="L98" s="90" t="s">
        <v>88</v>
      </c>
      <c r="M98" s="90" t="s">
        <v>118</v>
      </c>
      <c r="N98" s="90" t="s">
        <v>81</v>
      </c>
      <c r="O98" s="91">
        <f>(SUM(Table1[[#This Row],[Likes]],Table1[[#This Row],[Shares]],Table1[[#This Row],[Comments]])/Table1[[#This Row],[Impressions]] )</f>
        <v>8.7668609086629767E-2</v>
      </c>
      <c r="P98" s="90" t="s">
        <v>121</v>
      </c>
      <c r="Q98" s="90">
        <f t="shared" si="1"/>
        <v>698</v>
      </c>
    </row>
    <row r="99" spans="1:17" ht="14.25" customHeight="1" x14ac:dyDescent="0.3">
      <c r="A99" s="15" t="s">
        <v>300</v>
      </c>
      <c r="B99" s="15" t="s">
        <v>3</v>
      </c>
      <c r="C99" s="48" t="s">
        <v>208</v>
      </c>
      <c r="D99" s="15" t="s">
        <v>94</v>
      </c>
      <c r="E99" s="15" t="s">
        <v>95</v>
      </c>
      <c r="F99" s="15">
        <v>1575</v>
      </c>
      <c r="G99" s="15">
        <v>771</v>
      </c>
      <c r="H99" s="15">
        <v>486</v>
      </c>
      <c r="I99" s="15">
        <v>25200</v>
      </c>
      <c r="J99" s="90">
        <v>24826</v>
      </c>
      <c r="K99" s="90">
        <v>17</v>
      </c>
      <c r="L99" s="90" t="s">
        <v>99</v>
      </c>
      <c r="M99" s="90" t="s">
        <v>118</v>
      </c>
      <c r="N99" s="90" t="s">
        <v>666</v>
      </c>
      <c r="O99" s="91">
        <f>(SUM(Table1[[#This Row],[Likes]],Table1[[#This Row],[Shares]],Table1[[#This Row],[Comments]])/Table1[[#This Row],[Impressions]] )</f>
        <v>0.11238095238095239</v>
      </c>
      <c r="P99" s="90" t="s">
        <v>118</v>
      </c>
      <c r="Q99" s="90">
        <f t="shared" si="1"/>
        <v>1274</v>
      </c>
    </row>
    <row r="100" spans="1:17" ht="14.25" customHeight="1" x14ac:dyDescent="0.3">
      <c r="A100" s="15" t="s">
        <v>301</v>
      </c>
      <c r="B100" s="15" t="s">
        <v>4</v>
      </c>
      <c r="C100" s="48" t="s">
        <v>302</v>
      </c>
      <c r="D100" s="15" t="s">
        <v>102</v>
      </c>
      <c r="E100" s="15" t="s">
        <v>103</v>
      </c>
      <c r="F100" s="15">
        <v>4171</v>
      </c>
      <c r="G100" s="15">
        <v>548</v>
      </c>
      <c r="H100" s="15">
        <v>86</v>
      </c>
      <c r="I100" s="15">
        <v>66736</v>
      </c>
      <c r="J100" s="90">
        <v>66634</v>
      </c>
      <c r="K100" s="90">
        <v>173</v>
      </c>
      <c r="L100" s="90" t="s">
        <v>99</v>
      </c>
      <c r="M100" s="90" t="s">
        <v>118</v>
      </c>
      <c r="N100" s="90" t="s">
        <v>666</v>
      </c>
      <c r="O100" s="91">
        <f>(SUM(Table1[[#This Row],[Likes]],Table1[[#This Row],[Shares]],Table1[[#This Row],[Comments]])/Table1[[#This Row],[Impressions]] )</f>
        <v>7.2000119875329657E-2</v>
      </c>
      <c r="P100" s="90" t="s">
        <v>118</v>
      </c>
      <c r="Q100" s="90">
        <f t="shared" si="1"/>
        <v>807</v>
      </c>
    </row>
    <row r="101" spans="1:17" ht="14.25" customHeight="1" x14ac:dyDescent="0.3">
      <c r="A101" s="15" t="s">
        <v>303</v>
      </c>
      <c r="B101" s="15" t="s">
        <v>4</v>
      </c>
      <c r="C101" s="48" t="s">
        <v>304</v>
      </c>
      <c r="D101" s="15" t="s">
        <v>129</v>
      </c>
      <c r="E101" s="15" t="s">
        <v>130</v>
      </c>
      <c r="F101" s="15">
        <v>1766</v>
      </c>
      <c r="G101" s="15">
        <v>92</v>
      </c>
      <c r="H101" s="15">
        <v>424</v>
      </c>
      <c r="I101" s="15">
        <v>24724</v>
      </c>
      <c r="J101" s="90">
        <v>24333</v>
      </c>
      <c r="K101" s="90">
        <v>52</v>
      </c>
      <c r="L101" s="90" t="s">
        <v>82</v>
      </c>
      <c r="M101" s="90" t="s">
        <v>118</v>
      </c>
      <c r="N101" s="90" t="s">
        <v>666</v>
      </c>
      <c r="O101" s="91">
        <f>(SUM(Table1[[#This Row],[Likes]],Table1[[#This Row],[Shares]],Table1[[#This Row],[Comments]])/Table1[[#This Row],[Impressions]] )</f>
        <v>9.2298980747451867E-2</v>
      </c>
      <c r="P101" s="90" t="s">
        <v>118</v>
      </c>
      <c r="Q101" s="90">
        <f t="shared" si="1"/>
        <v>568</v>
      </c>
    </row>
    <row r="102" spans="1:17" ht="14.25" customHeight="1" x14ac:dyDescent="0.3">
      <c r="A102" s="15" t="s">
        <v>305</v>
      </c>
      <c r="B102" s="15" t="s">
        <v>4</v>
      </c>
      <c r="C102" s="48" t="s">
        <v>255</v>
      </c>
      <c r="D102" s="15" t="s">
        <v>129</v>
      </c>
      <c r="E102" s="15" t="s">
        <v>130</v>
      </c>
      <c r="F102" s="15">
        <v>4450</v>
      </c>
      <c r="G102" s="15">
        <v>983</v>
      </c>
      <c r="H102" s="15">
        <v>143</v>
      </c>
      <c r="I102" s="15">
        <v>75650</v>
      </c>
      <c r="J102" s="90">
        <v>75008</v>
      </c>
      <c r="K102" s="90">
        <v>12</v>
      </c>
      <c r="L102" s="90" t="s">
        <v>88</v>
      </c>
      <c r="M102" s="90" t="s">
        <v>81</v>
      </c>
      <c r="N102" s="90" t="s">
        <v>118</v>
      </c>
      <c r="O102" s="91">
        <f>(SUM(Table1[[#This Row],[Likes]],Table1[[#This Row],[Shares]],Table1[[#This Row],[Comments]])/Table1[[#This Row],[Impressions]] )</f>
        <v>7.3707865168539333E-2</v>
      </c>
      <c r="P102" s="90" t="s">
        <v>142</v>
      </c>
      <c r="Q102" s="90">
        <f t="shared" si="1"/>
        <v>1138</v>
      </c>
    </row>
    <row r="103" spans="1:17" ht="14.25" customHeight="1" x14ac:dyDescent="0.3">
      <c r="A103" s="15" t="s">
        <v>306</v>
      </c>
      <c r="B103" s="15" t="s">
        <v>3</v>
      </c>
      <c r="C103" s="48" t="s">
        <v>307</v>
      </c>
      <c r="D103" s="15" t="s">
        <v>79</v>
      </c>
      <c r="E103" s="15" t="s">
        <v>80</v>
      </c>
      <c r="F103" s="15">
        <v>1000</v>
      </c>
      <c r="G103" s="15">
        <v>978</v>
      </c>
      <c r="H103" s="15">
        <v>162</v>
      </c>
      <c r="I103" s="15">
        <v>6000</v>
      </c>
      <c r="J103" s="90">
        <v>5221</v>
      </c>
      <c r="K103" s="90">
        <v>223</v>
      </c>
      <c r="L103" s="90" t="s">
        <v>99</v>
      </c>
      <c r="M103" s="90" t="s">
        <v>104</v>
      </c>
      <c r="N103" s="90" t="s">
        <v>87</v>
      </c>
      <c r="O103" s="91">
        <f>(SUM(Table1[[#This Row],[Likes]],Table1[[#This Row],[Shares]],Table1[[#This Row],[Comments]])/Table1[[#This Row],[Impressions]] )</f>
        <v>0.35666666666666669</v>
      </c>
      <c r="P103" s="90" t="s">
        <v>165</v>
      </c>
      <c r="Q103" s="90">
        <f t="shared" si="1"/>
        <v>1363</v>
      </c>
    </row>
    <row r="104" spans="1:17" ht="14.25" customHeight="1" x14ac:dyDescent="0.3">
      <c r="A104" s="15" t="s">
        <v>308</v>
      </c>
      <c r="B104" s="15" t="s">
        <v>1</v>
      </c>
      <c r="C104" s="48" t="s">
        <v>309</v>
      </c>
      <c r="D104" s="15" t="s">
        <v>109</v>
      </c>
      <c r="E104" s="15" t="s">
        <v>110</v>
      </c>
      <c r="F104" s="15">
        <v>3689</v>
      </c>
      <c r="G104" s="15">
        <v>48</v>
      </c>
      <c r="H104" s="15">
        <v>306</v>
      </c>
      <c r="I104" s="15">
        <v>40579</v>
      </c>
      <c r="J104" s="90">
        <v>39588</v>
      </c>
      <c r="K104" s="90">
        <v>212</v>
      </c>
      <c r="L104" s="90" t="s">
        <v>82</v>
      </c>
      <c r="M104" s="90" t="s">
        <v>104</v>
      </c>
      <c r="N104" s="90" t="s">
        <v>666</v>
      </c>
      <c r="O104" s="91">
        <f>(SUM(Table1[[#This Row],[Likes]],Table1[[#This Row],[Shares]],Table1[[#This Row],[Comments]])/Table1[[#This Row],[Impressions]] )</f>
        <v>9.9632815002833983E-2</v>
      </c>
      <c r="P104" s="90" t="s">
        <v>104</v>
      </c>
      <c r="Q104" s="90">
        <f t="shared" si="1"/>
        <v>566</v>
      </c>
    </row>
    <row r="105" spans="1:17" ht="14.25" customHeight="1" x14ac:dyDescent="0.3">
      <c r="A105" s="15" t="s">
        <v>310</v>
      </c>
      <c r="B105" s="15" t="s">
        <v>4</v>
      </c>
      <c r="C105" s="48" t="s">
        <v>311</v>
      </c>
      <c r="D105" s="15" t="s">
        <v>94</v>
      </c>
      <c r="E105" s="15" t="s">
        <v>95</v>
      </c>
      <c r="F105" s="15">
        <v>3655</v>
      </c>
      <c r="G105" s="15">
        <v>568</v>
      </c>
      <c r="H105" s="15">
        <v>286</v>
      </c>
      <c r="I105" s="15">
        <v>32895</v>
      </c>
      <c r="J105" s="90">
        <v>32015</v>
      </c>
      <c r="K105" s="90">
        <v>199</v>
      </c>
      <c r="L105" s="90" t="s">
        <v>115</v>
      </c>
      <c r="M105" s="90" t="s">
        <v>104</v>
      </c>
      <c r="N105" s="90" t="s">
        <v>666</v>
      </c>
      <c r="O105" s="91">
        <f>(SUM(Table1[[#This Row],[Likes]],Table1[[#This Row],[Shares]],Table1[[#This Row],[Comments]])/Table1[[#This Row],[Impressions]] )</f>
        <v>0.13707250341997265</v>
      </c>
      <c r="P105" s="90" t="s">
        <v>104</v>
      </c>
      <c r="Q105" s="90">
        <f t="shared" si="1"/>
        <v>1053</v>
      </c>
    </row>
    <row r="106" spans="1:17" ht="14.25" customHeight="1" x14ac:dyDescent="0.3">
      <c r="A106" s="15" t="s">
        <v>312</v>
      </c>
      <c r="B106" s="15" t="s">
        <v>2</v>
      </c>
      <c r="C106" s="48" t="s">
        <v>313</v>
      </c>
      <c r="D106" s="15" t="s">
        <v>102</v>
      </c>
      <c r="E106" s="15" t="s">
        <v>103</v>
      </c>
      <c r="F106" s="15">
        <v>498</v>
      </c>
      <c r="G106" s="15">
        <v>38</v>
      </c>
      <c r="H106" s="15">
        <v>42</v>
      </c>
      <c r="I106" s="15">
        <v>4482</v>
      </c>
      <c r="J106" s="90">
        <v>3647</v>
      </c>
      <c r="K106" s="90">
        <v>32</v>
      </c>
      <c r="L106" s="90" t="s">
        <v>115</v>
      </c>
      <c r="M106" s="90" t="s">
        <v>118</v>
      </c>
      <c r="N106" s="90" t="s">
        <v>137</v>
      </c>
      <c r="O106" s="91">
        <f>(SUM(Table1[[#This Row],[Likes]],Table1[[#This Row],[Shares]],Table1[[#This Row],[Comments]])/Table1[[#This Row],[Impressions]] )</f>
        <v>0.12896028558679162</v>
      </c>
      <c r="P106" s="90" t="s">
        <v>222</v>
      </c>
      <c r="Q106" s="90">
        <f t="shared" si="1"/>
        <v>112</v>
      </c>
    </row>
    <row r="107" spans="1:17" ht="14.25" customHeight="1" x14ac:dyDescent="0.3">
      <c r="A107" s="15" t="s">
        <v>314</v>
      </c>
      <c r="B107" s="15" t="s">
        <v>2</v>
      </c>
      <c r="C107" s="48" t="s">
        <v>315</v>
      </c>
      <c r="D107" s="15" t="s">
        <v>109</v>
      </c>
      <c r="E107" s="15" t="s">
        <v>110</v>
      </c>
      <c r="F107" s="15">
        <v>4619</v>
      </c>
      <c r="G107" s="15">
        <v>821</v>
      </c>
      <c r="H107" s="15">
        <v>499</v>
      </c>
      <c r="I107" s="15">
        <v>69285</v>
      </c>
      <c r="J107" s="90">
        <v>69141</v>
      </c>
      <c r="K107" s="90">
        <v>298</v>
      </c>
      <c r="L107" s="90" t="s">
        <v>82</v>
      </c>
      <c r="M107" s="90" t="s">
        <v>87</v>
      </c>
      <c r="N107" s="90" t="s">
        <v>666</v>
      </c>
      <c r="O107" s="91">
        <f>(SUM(Table1[[#This Row],[Likes]],Table1[[#This Row],[Shares]],Table1[[#This Row],[Comments]])/Table1[[#This Row],[Impressions]] )</f>
        <v>8.5718409468138843E-2</v>
      </c>
      <c r="P107" s="90" t="s">
        <v>87</v>
      </c>
      <c r="Q107" s="90">
        <f t="shared" si="1"/>
        <v>1618</v>
      </c>
    </row>
    <row r="108" spans="1:17" ht="14.25" customHeight="1" x14ac:dyDescent="0.3">
      <c r="A108" s="15" t="s">
        <v>316</v>
      </c>
      <c r="B108" s="15" t="s">
        <v>4</v>
      </c>
      <c r="C108" s="48" t="s">
        <v>317</v>
      </c>
      <c r="D108" s="15" t="s">
        <v>109</v>
      </c>
      <c r="E108" s="15" t="s">
        <v>110</v>
      </c>
      <c r="F108" s="15">
        <v>4832</v>
      </c>
      <c r="G108" s="15">
        <v>893</v>
      </c>
      <c r="H108" s="15">
        <v>10</v>
      </c>
      <c r="I108" s="15">
        <v>91808</v>
      </c>
      <c r="J108" s="90">
        <v>91296</v>
      </c>
      <c r="K108" s="90">
        <v>182</v>
      </c>
      <c r="L108" s="90" t="s">
        <v>99</v>
      </c>
      <c r="M108" s="90" t="s">
        <v>81</v>
      </c>
      <c r="N108" s="90" t="s">
        <v>118</v>
      </c>
      <c r="O108" s="91">
        <f>(SUM(Table1[[#This Row],[Likes]],Table1[[#This Row],[Shares]],Table1[[#This Row],[Comments]])/Table1[[#This Row],[Impressions]] )</f>
        <v>6.2467323109097243E-2</v>
      </c>
      <c r="P108" s="90" t="s">
        <v>142</v>
      </c>
      <c r="Q108" s="90">
        <f t="shared" si="1"/>
        <v>1085</v>
      </c>
    </row>
    <row r="109" spans="1:17" ht="14.25" customHeight="1" x14ac:dyDescent="0.3">
      <c r="A109" s="15" t="s">
        <v>318</v>
      </c>
      <c r="B109" s="15" t="s">
        <v>3</v>
      </c>
      <c r="C109" s="48" t="s">
        <v>319</v>
      </c>
      <c r="D109" s="15" t="s">
        <v>129</v>
      </c>
      <c r="E109" s="15" t="s">
        <v>130</v>
      </c>
      <c r="F109" s="15">
        <v>4050</v>
      </c>
      <c r="G109" s="15">
        <v>871</v>
      </c>
      <c r="H109" s="15">
        <v>347</v>
      </c>
      <c r="I109" s="15">
        <v>52650</v>
      </c>
      <c r="J109" s="90">
        <v>51755</v>
      </c>
      <c r="K109" s="90">
        <v>209</v>
      </c>
      <c r="L109" s="90" t="s">
        <v>82</v>
      </c>
      <c r="M109" s="90" t="s">
        <v>118</v>
      </c>
      <c r="N109" s="90" t="s">
        <v>137</v>
      </c>
      <c r="O109" s="91">
        <f>(SUM(Table1[[#This Row],[Likes]],Table1[[#This Row],[Shares]],Table1[[#This Row],[Comments]])/Table1[[#This Row],[Impressions]] )</f>
        <v>0.10005698005698006</v>
      </c>
      <c r="P109" s="90" t="s">
        <v>222</v>
      </c>
      <c r="Q109" s="90">
        <f t="shared" si="1"/>
        <v>1427</v>
      </c>
    </row>
    <row r="110" spans="1:17" ht="14.25" customHeight="1" x14ac:dyDescent="0.3">
      <c r="A110" s="15" t="s">
        <v>320</v>
      </c>
      <c r="B110" s="15" t="s">
        <v>3</v>
      </c>
      <c r="C110" s="48" t="s">
        <v>321</v>
      </c>
      <c r="D110" s="15" t="s">
        <v>94</v>
      </c>
      <c r="E110" s="15" t="s">
        <v>95</v>
      </c>
      <c r="F110" s="15">
        <v>3649</v>
      </c>
      <c r="G110" s="15">
        <v>215</v>
      </c>
      <c r="H110" s="15">
        <v>413</v>
      </c>
      <c r="I110" s="15">
        <v>25543</v>
      </c>
      <c r="J110" s="90">
        <v>24963</v>
      </c>
      <c r="K110" s="90">
        <v>167</v>
      </c>
      <c r="L110" s="90" t="s">
        <v>82</v>
      </c>
      <c r="M110" s="90" t="s">
        <v>87</v>
      </c>
      <c r="N110" s="90" t="s">
        <v>118</v>
      </c>
      <c r="O110" s="91">
        <f>(SUM(Table1[[#This Row],[Likes]],Table1[[#This Row],[Shares]],Table1[[#This Row],[Comments]])/Table1[[#This Row],[Impressions]] )</f>
        <v>0.16744313510550835</v>
      </c>
      <c r="P110" s="90" t="s">
        <v>206</v>
      </c>
      <c r="Q110" s="90">
        <f t="shared" si="1"/>
        <v>795</v>
      </c>
    </row>
    <row r="111" spans="1:17" ht="14.25" customHeight="1" x14ac:dyDescent="0.3">
      <c r="A111" s="15" t="s">
        <v>322</v>
      </c>
      <c r="B111" s="15" t="s">
        <v>2</v>
      </c>
      <c r="C111" s="48" t="s">
        <v>323</v>
      </c>
      <c r="D111" s="15" t="s">
        <v>79</v>
      </c>
      <c r="E111" s="15" t="s">
        <v>80</v>
      </c>
      <c r="F111" s="15">
        <v>3523</v>
      </c>
      <c r="G111" s="15">
        <v>753</v>
      </c>
      <c r="H111" s="15">
        <v>482</v>
      </c>
      <c r="I111" s="15">
        <v>38753</v>
      </c>
      <c r="J111" s="90">
        <v>38579</v>
      </c>
      <c r="K111" s="90">
        <v>270</v>
      </c>
      <c r="L111" s="90" t="s">
        <v>88</v>
      </c>
      <c r="M111" s="90" t="s">
        <v>137</v>
      </c>
      <c r="N111" s="90" t="s">
        <v>118</v>
      </c>
      <c r="O111" s="91">
        <f>(SUM(Table1[[#This Row],[Likes]],Table1[[#This Row],[Shares]],Table1[[#This Row],[Comments]])/Table1[[#This Row],[Impressions]] )</f>
        <v>0.12277759141227776</v>
      </c>
      <c r="P111" s="90" t="s">
        <v>324</v>
      </c>
      <c r="Q111" s="90">
        <f t="shared" si="1"/>
        <v>1505</v>
      </c>
    </row>
    <row r="112" spans="1:17" ht="14.25" customHeight="1" x14ac:dyDescent="0.3">
      <c r="A112" s="15" t="s">
        <v>325</v>
      </c>
      <c r="B112" s="15" t="s">
        <v>4</v>
      </c>
      <c r="C112" s="48" t="s">
        <v>326</v>
      </c>
      <c r="D112" s="15" t="s">
        <v>109</v>
      </c>
      <c r="E112" s="15" t="s">
        <v>110</v>
      </c>
      <c r="F112" s="15">
        <v>2719</v>
      </c>
      <c r="G112" s="15">
        <v>17</v>
      </c>
      <c r="H112" s="15">
        <v>285</v>
      </c>
      <c r="I112" s="15">
        <v>40785</v>
      </c>
      <c r="J112" s="90">
        <v>40281</v>
      </c>
      <c r="K112" s="90">
        <v>40</v>
      </c>
      <c r="L112" s="90" t="s">
        <v>99</v>
      </c>
      <c r="M112" s="90" t="s">
        <v>87</v>
      </c>
      <c r="N112" s="90" t="s">
        <v>118</v>
      </c>
      <c r="O112" s="91">
        <f>(SUM(Table1[[#This Row],[Likes]],Table1[[#This Row],[Shares]],Table1[[#This Row],[Comments]])/Table1[[#This Row],[Impressions]] )</f>
        <v>7.4071349760941527E-2</v>
      </c>
      <c r="P112" s="90" t="s">
        <v>206</v>
      </c>
      <c r="Q112" s="90">
        <f t="shared" si="1"/>
        <v>342</v>
      </c>
    </row>
    <row r="113" spans="1:17" ht="14.25" customHeight="1" x14ac:dyDescent="0.3">
      <c r="A113" s="15" t="s">
        <v>327</v>
      </c>
      <c r="B113" s="15" t="s">
        <v>3</v>
      </c>
      <c r="C113" s="48" t="s">
        <v>328</v>
      </c>
      <c r="D113" s="15" t="s">
        <v>94</v>
      </c>
      <c r="E113" s="15" t="s">
        <v>95</v>
      </c>
      <c r="F113" s="15">
        <v>1957</v>
      </c>
      <c r="G113" s="15">
        <v>877</v>
      </c>
      <c r="H113" s="15">
        <v>238</v>
      </c>
      <c r="I113" s="15">
        <v>17613</v>
      </c>
      <c r="J113" s="90">
        <v>16865</v>
      </c>
      <c r="K113" s="90">
        <v>297</v>
      </c>
      <c r="L113" s="90" t="s">
        <v>99</v>
      </c>
      <c r="M113" s="90" t="s">
        <v>87</v>
      </c>
      <c r="N113" s="90" t="s">
        <v>81</v>
      </c>
      <c r="O113" s="91">
        <f>(SUM(Table1[[#This Row],[Likes]],Table1[[#This Row],[Shares]],Table1[[#This Row],[Comments]])/Table1[[#This Row],[Impressions]] )</f>
        <v>0.17441662408448305</v>
      </c>
      <c r="P113" s="90" t="s">
        <v>91</v>
      </c>
      <c r="Q113" s="90">
        <f t="shared" si="1"/>
        <v>1412</v>
      </c>
    </row>
    <row r="114" spans="1:17" ht="14.25" customHeight="1" x14ac:dyDescent="0.3">
      <c r="A114" s="15" t="s">
        <v>329</v>
      </c>
      <c r="B114" s="15" t="s">
        <v>3</v>
      </c>
      <c r="C114" s="48" t="s">
        <v>330</v>
      </c>
      <c r="D114" s="15" t="s">
        <v>102</v>
      </c>
      <c r="E114" s="15" t="s">
        <v>103</v>
      </c>
      <c r="F114" s="15">
        <v>4419</v>
      </c>
      <c r="G114" s="15">
        <v>236</v>
      </c>
      <c r="H114" s="15">
        <v>369</v>
      </c>
      <c r="I114" s="15">
        <v>44190</v>
      </c>
      <c r="J114" s="90">
        <v>43582</v>
      </c>
      <c r="K114" s="90">
        <v>10</v>
      </c>
      <c r="L114" s="90" t="s">
        <v>115</v>
      </c>
      <c r="M114" s="90" t="s">
        <v>104</v>
      </c>
      <c r="N114" s="90" t="s">
        <v>666</v>
      </c>
      <c r="O114" s="91">
        <f>(SUM(Table1[[#This Row],[Likes]],Table1[[#This Row],[Shares]],Table1[[#This Row],[Comments]])/Table1[[#This Row],[Impressions]] )</f>
        <v>0.11369088028965829</v>
      </c>
      <c r="P114" s="90" t="s">
        <v>104</v>
      </c>
      <c r="Q114" s="90">
        <f t="shared" si="1"/>
        <v>615</v>
      </c>
    </row>
    <row r="115" spans="1:17" ht="14.25" customHeight="1" x14ac:dyDescent="0.3">
      <c r="A115" s="15" t="s">
        <v>331</v>
      </c>
      <c r="B115" s="15" t="s">
        <v>3</v>
      </c>
      <c r="C115" s="48" t="s">
        <v>332</v>
      </c>
      <c r="D115" s="15" t="s">
        <v>94</v>
      </c>
      <c r="E115" s="15" t="s">
        <v>95</v>
      </c>
      <c r="F115" s="15">
        <v>4000</v>
      </c>
      <c r="G115" s="15">
        <v>689</v>
      </c>
      <c r="H115" s="15">
        <v>488</v>
      </c>
      <c r="I115" s="15">
        <v>40000</v>
      </c>
      <c r="J115" s="90">
        <v>39569</v>
      </c>
      <c r="K115" s="90">
        <v>44</v>
      </c>
      <c r="L115" s="90" t="s">
        <v>99</v>
      </c>
      <c r="M115" s="90" t="s">
        <v>137</v>
      </c>
      <c r="N115" s="90" t="s">
        <v>87</v>
      </c>
      <c r="O115" s="91">
        <f>(SUM(Table1[[#This Row],[Likes]],Table1[[#This Row],[Shares]],Table1[[#This Row],[Comments]])/Table1[[#This Row],[Impressions]] )</f>
        <v>0.12942500000000001</v>
      </c>
      <c r="P115" s="90" t="s">
        <v>204</v>
      </c>
      <c r="Q115" s="90">
        <f t="shared" si="1"/>
        <v>1221</v>
      </c>
    </row>
    <row r="116" spans="1:17" ht="14.25" customHeight="1" x14ac:dyDescent="0.3">
      <c r="A116" s="15" t="s">
        <v>333</v>
      </c>
      <c r="B116" s="15" t="s">
        <v>3</v>
      </c>
      <c r="C116" s="48" t="s">
        <v>334</v>
      </c>
      <c r="D116" s="15" t="s">
        <v>109</v>
      </c>
      <c r="E116" s="15" t="s">
        <v>110</v>
      </c>
      <c r="F116" s="15">
        <v>2493</v>
      </c>
      <c r="G116" s="15">
        <v>97</v>
      </c>
      <c r="H116" s="15">
        <v>44</v>
      </c>
      <c r="I116" s="15">
        <v>42381</v>
      </c>
      <c r="J116" s="90">
        <v>41991</v>
      </c>
      <c r="K116" s="90">
        <v>242</v>
      </c>
      <c r="L116" s="90" t="s">
        <v>82</v>
      </c>
      <c r="M116" s="90" t="s">
        <v>81</v>
      </c>
      <c r="N116" s="90" t="s">
        <v>118</v>
      </c>
      <c r="O116" s="91">
        <f>(SUM(Table1[[#This Row],[Likes]],Table1[[#This Row],[Shares]],Table1[[#This Row],[Comments]])/Table1[[#This Row],[Impressions]] )</f>
        <v>6.2150491965739366E-2</v>
      </c>
      <c r="P116" s="90" t="s">
        <v>142</v>
      </c>
      <c r="Q116" s="90">
        <f t="shared" si="1"/>
        <v>383</v>
      </c>
    </row>
    <row r="117" spans="1:17" ht="14.25" customHeight="1" x14ac:dyDescent="0.3">
      <c r="A117" s="15" t="s">
        <v>335</v>
      </c>
      <c r="B117" s="15" t="s">
        <v>4</v>
      </c>
      <c r="C117" s="48" t="s">
        <v>336</v>
      </c>
      <c r="D117" s="15" t="s">
        <v>79</v>
      </c>
      <c r="E117" s="15" t="s">
        <v>80</v>
      </c>
      <c r="F117" s="15">
        <v>3704</v>
      </c>
      <c r="G117" s="15">
        <v>186</v>
      </c>
      <c r="H117" s="15">
        <v>458</v>
      </c>
      <c r="I117" s="15">
        <v>25928</v>
      </c>
      <c r="J117" s="90">
        <v>25081</v>
      </c>
      <c r="K117" s="90">
        <v>131</v>
      </c>
      <c r="L117" s="90" t="s">
        <v>82</v>
      </c>
      <c r="M117" s="90" t="s">
        <v>118</v>
      </c>
      <c r="N117" s="90" t="s">
        <v>666</v>
      </c>
      <c r="O117" s="91">
        <f>(SUM(Table1[[#This Row],[Likes]],Table1[[#This Row],[Shares]],Table1[[#This Row],[Comments]])/Table1[[#This Row],[Impressions]] )</f>
        <v>0.16769515581610614</v>
      </c>
      <c r="P117" s="90" t="s">
        <v>118</v>
      </c>
      <c r="Q117" s="90">
        <f t="shared" si="1"/>
        <v>775</v>
      </c>
    </row>
    <row r="118" spans="1:17" ht="14.25" customHeight="1" x14ac:dyDescent="0.3">
      <c r="A118" s="15" t="s">
        <v>337</v>
      </c>
      <c r="B118" s="15" t="s">
        <v>3</v>
      </c>
      <c r="C118" s="48" t="s">
        <v>338</v>
      </c>
      <c r="D118" s="15" t="s">
        <v>109</v>
      </c>
      <c r="E118" s="15" t="s">
        <v>110</v>
      </c>
      <c r="F118" s="15">
        <v>1606</v>
      </c>
      <c r="G118" s="15">
        <v>451</v>
      </c>
      <c r="H118" s="15">
        <v>405</v>
      </c>
      <c r="I118" s="15">
        <v>20878</v>
      </c>
      <c r="J118" s="90">
        <v>20190</v>
      </c>
      <c r="K118" s="90">
        <v>219</v>
      </c>
      <c r="L118" s="90" t="s">
        <v>88</v>
      </c>
      <c r="M118" s="90" t="s">
        <v>81</v>
      </c>
      <c r="N118" s="90" t="s">
        <v>118</v>
      </c>
      <c r="O118" s="91">
        <f>(SUM(Table1[[#This Row],[Likes]],Table1[[#This Row],[Shares]],Table1[[#This Row],[Comments]])/Table1[[#This Row],[Impressions]] )</f>
        <v>0.11792317271769326</v>
      </c>
      <c r="P118" s="90" t="s">
        <v>142</v>
      </c>
      <c r="Q118" s="90">
        <f t="shared" si="1"/>
        <v>1075</v>
      </c>
    </row>
    <row r="119" spans="1:17" ht="14.25" customHeight="1" x14ac:dyDescent="0.3">
      <c r="A119" s="15" t="s">
        <v>339</v>
      </c>
      <c r="B119" s="15" t="s">
        <v>1</v>
      </c>
      <c r="C119" s="48" t="s">
        <v>338</v>
      </c>
      <c r="D119" s="15" t="s">
        <v>109</v>
      </c>
      <c r="E119" s="15" t="s">
        <v>110</v>
      </c>
      <c r="F119" s="15">
        <v>4551</v>
      </c>
      <c r="G119" s="15">
        <v>714</v>
      </c>
      <c r="H119" s="15">
        <v>207</v>
      </c>
      <c r="I119" s="15">
        <v>68265</v>
      </c>
      <c r="J119" s="90">
        <v>67754</v>
      </c>
      <c r="K119" s="90">
        <v>57</v>
      </c>
      <c r="L119" s="90" t="s">
        <v>88</v>
      </c>
      <c r="M119" s="90" t="s">
        <v>104</v>
      </c>
      <c r="N119" s="90" t="s">
        <v>666</v>
      </c>
      <c r="O119" s="91">
        <f>(SUM(Table1[[#This Row],[Likes]],Table1[[#This Row],[Shares]],Table1[[#This Row],[Comments]])/Table1[[#This Row],[Impressions]] )</f>
        <v>8.0158206987475278E-2</v>
      </c>
      <c r="P119" s="90" t="s">
        <v>104</v>
      </c>
      <c r="Q119" s="90">
        <f t="shared" si="1"/>
        <v>978</v>
      </c>
    </row>
    <row r="120" spans="1:17" ht="14.25" customHeight="1" x14ac:dyDescent="0.3">
      <c r="A120" s="15" t="s">
        <v>340</v>
      </c>
      <c r="B120" s="15" t="s">
        <v>2</v>
      </c>
      <c r="C120" s="48" t="s">
        <v>341</v>
      </c>
      <c r="D120" s="15" t="s">
        <v>79</v>
      </c>
      <c r="E120" s="15" t="s">
        <v>80</v>
      </c>
      <c r="F120" s="15">
        <v>1970</v>
      </c>
      <c r="G120" s="15">
        <v>675</v>
      </c>
      <c r="H120" s="15">
        <v>478</v>
      </c>
      <c r="I120" s="15">
        <v>9850</v>
      </c>
      <c r="J120" s="90">
        <v>8924</v>
      </c>
      <c r="K120" s="90">
        <v>117</v>
      </c>
      <c r="L120" s="90" t="s">
        <v>115</v>
      </c>
      <c r="M120" s="90" t="s">
        <v>104</v>
      </c>
      <c r="N120" s="90" t="s">
        <v>666</v>
      </c>
      <c r="O120" s="91">
        <f>(SUM(Table1[[#This Row],[Likes]],Table1[[#This Row],[Shares]],Table1[[#This Row],[Comments]])/Table1[[#This Row],[Impressions]] )</f>
        <v>0.31705583756345179</v>
      </c>
      <c r="P120" s="90" t="s">
        <v>104</v>
      </c>
      <c r="Q120" s="90">
        <f t="shared" si="1"/>
        <v>1270</v>
      </c>
    </row>
    <row r="121" spans="1:17" ht="14.25" customHeight="1" x14ac:dyDescent="0.3">
      <c r="A121" s="15" t="s">
        <v>342</v>
      </c>
      <c r="B121" s="15" t="s">
        <v>1</v>
      </c>
      <c r="C121" s="48" t="s">
        <v>224</v>
      </c>
      <c r="D121" s="15" t="s">
        <v>94</v>
      </c>
      <c r="E121" s="15" t="s">
        <v>95</v>
      </c>
      <c r="F121" s="15">
        <v>780</v>
      </c>
      <c r="G121" s="15">
        <v>928</v>
      </c>
      <c r="H121" s="15">
        <v>301</v>
      </c>
      <c r="I121" s="15">
        <v>8580</v>
      </c>
      <c r="J121" s="90">
        <v>8081</v>
      </c>
      <c r="K121" s="90">
        <v>91</v>
      </c>
      <c r="L121" s="90" t="s">
        <v>115</v>
      </c>
      <c r="M121" s="90" t="s">
        <v>81</v>
      </c>
      <c r="N121" s="90" t="s">
        <v>87</v>
      </c>
      <c r="O121" s="91">
        <f>(SUM(Table1[[#This Row],[Likes]],Table1[[#This Row],[Shares]],Table1[[#This Row],[Comments]])/Table1[[#This Row],[Impressions]] )</f>
        <v>0.23414918414918415</v>
      </c>
      <c r="P121" s="90" t="s">
        <v>126</v>
      </c>
      <c r="Q121" s="90">
        <f t="shared" si="1"/>
        <v>1320</v>
      </c>
    </row>
    <row r="122" spans="1:17" ht="14.25" customHeight="1" x14ac:dyDescent="0.3">
      <c r="A122" s="15" t="s">
        <v>343</v>
      </c>
      <c r="B122" s="15" t="s">
        <v>2</v>
      </c>
      <c r="C122" s="48" t="s">
        <v>323</v>
      </c>
      <c r="D122" s="15" t="s">
        <v>94</v>
      </c>
      <c r="E122" s="15" t="s">
        <v>95</v>
      </c>
      <c r="F122" s="15">
        <v>498</v>
      </c>
      <c r="G122" s="15">
        <v>701</v>
      </c>
      <c r="H122" s="15">
        <v>412</v>
      </c>
      <c r="I122" s="15">
        <v>4980</v>
      </c>
      <c r="J122" s="90">
        <v>4185</v>
      </c>
      <c r="K122" s="90">
        <v>185</v>
      </c>
      <c r="L122" s="90" t="s">
        <v>115</v>
      </c>
      <c r="M122" s="90" t="s">
        <v>137</v>
      </c>
      <c r="N122" s="90" t="s">
        <v>118</v>
      </c>
      <c r="O122" s="91">
        <f>(SUM(Table1[[#This Row],[Likes]],Table1[[#This Row],[Shares]],Table1[[#This Row],[Comments]])/Table1[[#This Row],[Impressions]] )</f>
        <v>0.32349397590361445</v>
      </c>
      <c r="P122" s="90" t="s">
        <v>324</v>
      </c>
      <c r="Q122" s="90">
        <f t="shared" si="1"/>
        <v>1298</v>
      </c>
    </row>
    <row r="123" spans="1:17" ht="14.25" customHeight="1" x14ac:dyDescent="0.3">
      <c r="A123" s="15" t="s">
        <v>344</v>
      </c>
      <c r="B123" s="15" t="s">
        <v>2</v>
      </c>
      <c r="C123" s="48" t="s">
        <v>330</v>
      </c>
      <c r="D123" s="15" t="s">
        <v>85</v>
      </c>
      <c r="E123" s="15" t="s">
        <v>86</v>
      </c>
      <c r="F123" s="15">
        <v>3432</v>
      </c>
      <c r="G123" s="15">
        <v>869</v>
      </c>
      <c r="H123" s="15">
        <v>123</v>
      </c>
      <c r="I123" s="15">
        <v>54912</v>
      </c>
      <c r="J123" s="90">
        <v>53916</v>
      </c>
      <c r="K123" s="90">
        <v>264</v>
      </c>
      <c r="L123" s="90" t="s">
        <v>88</v>
      </c>
      <c r="M123" s="90" t="s">
        <v>87</v>
      </c>
      <c r="N123" s="90" t="s">
        <v>104</v>
      </c>
      <c r="O123" s="91">
        <f>(SUM(Table1[[#This Row],[Likes]],Table1[[#This Row],[Shares]],Table1[[#This Row],[Comments]])/Table1[[#This Row],[Impressions]] )</f>
        <v>8.0565268065268064E-2</v>
      </c>
      <c r="P123" s="90" t="s">
        <v>345</v>
      </c>
      <c r="Q123" s="90">
        <f t="shared" si="1"/>
        <v>1256</v>
      </c>
    </row>
    <row r="124" spans="1:17" ht="14.25" customHeight="1" x14ac:dyDescent="0.3">
      <c r="A124" s="15" t="s">
        <v>346</v>
      </c>
      <c r="B124" s="15" t="s">
        <v>2</v>
      </c>
      <c r="C124" s="48" t="s">
        <v>313</v>
      </c>
      <c r="D124" s="15" t="s">
        <v>94</v>
      </c>
      <c r="E124" s="15" t="s">
        <v>95</v>
      </c>
      <c r="F124" s="15">
        <v>4363</v>
      </c>
      <c r="G124" s="15">
        <v>649</v>
      </c>
      <c r="H124" s="15">
        <v>140</v>
      </c>
      <c r="I124" s="15">
        <v>21815</v>
      </c>
      <c r="J124" s="90">
        <v>21481</v>
      </c>
      <c r="K124" s="90">
        <v>157</v>
      </c>
      <c r="L124" s="90" t="s">
        <v>88</v>
      </c>
      <c r="M124" s="90" t="s">
        <v>81</v>
      </c>
      <c r="N124" s="90" t="s">
        <v>87</v>
      </c>
      <c r="O124" s="91">
        <f>(SUM(Table1[[#This Row],[Likes]],Table1[[#This Row],[Shares]],Table1[[#This Row],[Comments]])/Table1[[#This Row],[Impressions]] )</f>
        <v>0.23616777446710979</v>
      </c>
      <c r="P124" s="90" t="s">
        <v>126</v>
      </c>
      <c r="Q124" s="90">
        <f t="shared" si="1"/>
        <v>946</v>
      </c>
    </row>
    <row r="125" spans="1:17" ht="14.25" customHeight="1" x14ac:dyDescent="0.3">
      <c r="A125" s="15" t="s">
        <v>347</v>
      </c>
      <c r="B125" s="15" t="s">
        <v>4</v>
      </c>
      <c r="C125" s="48" t="s">
        <v>348</v>
      </c>
      <c r="D125" s="15" t="s">
        <v>102</v>
      </c>
      <c r="E125" s="15" t="s">
        <v>103</v>
      </c>
      <c r="F125" s="15">
        <v>736</v>
      </c>
      <c r="G125" s="15">
        <v>771</v>
      </c>
      <c r="H125" s="15">
        <v>225</v>
      </c>
      <c r="I125" s="15">
        <v>5152</v>
      </c>
      <c r="J125" s="90">
        <v>4706</v>
      </c>
      <c r="K125" s="90">
        <v>19</v>
      </c>
      <c r="L125" s="90" t="s">
        <v>99</v>
      </c>
      <c r="M125" s="90" t="s">
        <v>118</v>
      </c>
      <c r="N125" s="90" t="s">
        <v>666</v>
      </c>
      <c r="O125" s="91">
        <f>(SUM(Table1[[#This Row],[Likes]],Table1[[#This Row],[Shares]],Table1[[#This Row],[Comments]])/Table1[[#This Row],[Impressions]] )</f>
        <v>0.33618012422360249</v>
      </c>
      <c r="P125" s="90" t="s">
        <v>118</v>
      </c>
      <c r="Q125" s="90">
        <f t="shared" si="1"/>
        <v>1015</v>
      </c>
    </row>
    <row r="126" spans="1:17" ht="14.25" customHeight="1" x14ac:dyDescent="0.3">
      <c r="A126" s="15" t="s">
        <v>349</v>
      </c>
      <c r="B126" s="15" t="s">
        <v>3</v>
      </c>
      <c r="C126" s="48" t="s">
        <v>350</v>
      </c>
      <c r="D126" s="15" t="s">
        <v>102</v>
      </c>
      <c r="E126" s="15" t="s">
        <v>103</v>
      </c>
      <c r="F126" s="15">
        <v>3811</v>
      </c>
      <c r="G126" s="15">
        <v>866</v>
      </c>
      <c r="H126" s="15">
        <v>216</v>
      </c>
      <c r="I126" s="15">
        <v>34299</v>
      </c>
      <c r="J126" s="90">
        <v>34088</v>
      </c>
      <c r="K126" s="90">
        <v>233</v>
      </c>
      <c r="L126" s="90" t="s">
        <v>99</v>
      </c>
      <c r="M126" s="90" t="s">
        <v>118</v>
      </c>
      <c r="N126" s="90" t="s">
        <v>666</v>
      </c>
      <c r="O126" s="91">
        <f>(SUM(Table1[[#This Row],[Likes]],Table1[[#This Row],[Shares]],Table1[[#This Row],[Comments]])/Table1[[#This Row],[Impressions]] )</f>
        <v>0.14265722032712325</v>
      </c>
      <c r="P126" s="90" t="s">
        <v>118</v>
      </c>
      <c r="Q126" s="90">
        <f t="shared" si="1"/>
        <v>1315</v>
      </c>
    </row>
    <row r="127" spans="1:17" ht="14.25" customHeight="1" x14ac:dyDescent="0.3">
      <c r="A127" s="15" t="s">
        <v>351</v>
      </c>
      <c r="B127" s="15" t="s">
        <v>2</v>
      </c>
      <c r="C127" s="48" t="s">
        <v>240</v>
      </c>
      <c r="D127" s="15" t="s">
        <v>102</v>
      </c>
      <c r="E127" s="15" t="s">
        <v>103</v>
      </c>
      <c r="F127" s="15">
        <v>4158</v>
      </c>
      <c r="G127" s="15">
        <v>167</v>
      </c>
      <c r="H127" s="15">
        <v>241</v>
      </c>
      <c r="I127" s="15">
        <v>45738</v>
      </c>
      <c r="J127" s="90">
        <v>45183</v>
      </c>
      <c r="K127" s="90">
        <v>142</v>
      </c>
      <c r="L127" s="90" t="s">
        <v>88</v>
      </c>
      <c r="M127" s="90" t="s">
        <v>87</v>
      </c>
      <c r="N127" s="90" t="s">
        <v>666</v>
      </c>
      <c r="O127" s="91">
        <f>(SUM(Table1[[#This Row],[Likes]],Table1[[#This Row],[Shares]],Table1[[#This Row],[Comments]])/Table1[[#This Row],[Impressions]] )</f>
        <v>9.9829463465827106E-2</v>
      </c>
      <c r="P127" s="90" t="s">
        <v>87</v>
      </c>
      <c r="Q127" s="90">
        <f t="shared" si="1"/>
        <v>550</v>
      </c>
    </row>
    <row r="128" spans="1:17" ht="14.25" customHeight="1" x14ac:dyDescent="0.3">
      <c r="A128" s="15" t="s">
        <v>352</v>
      </c>
      <c r="B128" s="15" t="s">
        <v>1</v>
      </c>
      <c r="C128" s="48" t="s">
        <v>279</v>
      </c>
      <c r="D128" s="15" t="s">
        <v>79</v>
      </c>
      <c r="E128" s="15" t="s">
        <v>80</v>
      </c>
      <c r="F128" s="15">
        <v>3452</v>
      </c>
      <c r="G128" s="15">
        <v>652</v>
      </c>
      <c r="H128" s="15">
        <v>442</v>
      </c>
      <c r="I128" s="15">
        <v>65588</v>
      </c>
      <c r="J128" s="90">
        <v>65049</v>
      </c>
      <c r="K128" s="90">
        <v>158</v>
      </c>
      <c r="L128" s="90" t="s">
        <v>82</v>
      </c>
      <c r="M128" s="90" t="s">
        <v>81</v>
      </c>
      <c r="N128" s="90" t="s">
        <v>118</v>
      </c>
      <c r="O128" s="91">
        <f>(SUM(Table1[[#This Row],[Likes]],Table1[[#This Row],[Shares]],Table1[[#This Row],[Comments]])/Table1[[#This Row],[Impressions]] )</f>
        <v>6.9311459413307311E-2</v>
      </c>
      <c r="P128" s="90" t="s">
        <v>142</v>
      </c>
      <c r="Q128" s="90">
        <f t="shared" si="1"/>
        <v>1252</v>
      </c>
    </row>
    <row r="129" spans="1:17" ht="14.25" customHeight="1" x14ac:dyDescent="0.3">
      <c r="A129" s="15" t="s">
        <v>353</v>
      </c>
      <c r="B129" s="15" t="s">
        <v>3</v>
      </c>
      <c r="C129" s="48" t="s">
        <v>285</v>
      </c>
      <c r="D129" s="15" t="s">
        <v>109</v>
      </c>
      <c r="E129" s="15" t="s">
        <v>110</v>
      </c>
      <c r="F129" s="15">
        <v>3092</v>
      </c>
      <c r="G129" s="15">
        <v>106</v>
      </c>
      <c r="H129" s="15">
        <v>291</v>
      </c>
      <c r="I129" s="15">
        <v>27828</v>
      </c>
      <c r="J129" s="90">
        <v>27217</v>
      </c>
      <c r="K129" s="90">
        <v>102</v>
      </c>
      <c r="L129" s="90" t="s">
        <v>115</v>
      </c>
      <c r="M129" s="90" t="s">
        <v>118</v>
      </c>
      <c r="N129" s="90" t="s">
        <v>666</v>
      </c>
      <c r="O129" s="91">
        <f>(SUM(Table1[[#This Row],[Likes]],Table1[[#This Row],[Shares]],Table1[[#This Row],[Comments]])/Table1[[#This Row],[Impressions]] )</f>
        <v>0.12537731780940059</v>
      </c>
      <c r="P129" s="90" t="s">
        <v>118</v>
      </c>
      <c r="Q129" s="90">
        <f t="shared" si="1"/>
        <v>499</v>
      </c>
    </row>
    <row r="130" spans="1:17" ht="14.25" customHeight="1" x14ac:dyDescent="0.3">
      <c r="A130" s="15" t="s">
        <v>354</v>
      </c>
      <c r="B130" s="15" t="s">
        <v>3</v>
      </c>
      <c r="C130" s="48" t="s">
        <v>120</v>
      </c>
      <c r="D130" s="15" t="s">
        <v>85</v>
      </c>
      <c r="E130" s="15" t="s">
        <v>86</v>
      </c>
      <c r="F130" s="15">
        <v>2147</v>
      </c>
      <c r="G130" s="15">
        <v>430</v>
      </c>
      <c r="H130" s="15">
        <v>393</v>
      </c>
      <c r="I130" s="15">
        <v>17176</v>
      </c>
      <c r="J130" s="90">
        <v>16483</v>
      </c>
      <c r="K130" s="90">
        <v>170</v>
      </c>
      <c r="L130" s="90" t="s">
        <v>115</v>
      </c>
      <c r="M130" s="90" t="s">
        <v>137</v>
      </c>
      <c r="N130" s="90" t="s">
        <v>666</v>
      </c>
      <c r="O130" s="91">
        <f>(SUM(Table1[[#This Row],[Likes]],Table1[[#This Row],[Shares]],Table1[[#This Row],[Comments]])/Table1[[#This Row],[Impressions]] )</f>
        <v>0.17291569632044715</v>
      </c>
      <c r="P130" s="90" t="s">
        <v>137</v>
      </c>
      <c r="Q130" s="90">
        <f t="shared" ref="Q130:Q193" si="2">SUM(G130,H130,K130)</f>
        <v>993</v>
      </c>
    </row>
    <row r="131" spans="1:17" ht="14.25" customHeight="1" x14ac:dyDescent="0.3">
      <c r="A131" s="15" t="s">
        <v>355</v>
      </c>
      <c r="B131" s="15" t="s">
        <v>4</v>
      </c>
      <c r="C131" s="48" t="s">
        <v>356</v>
      </c>
      <c r="D131" s="15" t="s">
        <v>79</v>
      </c>
      <c r="E131" s="15" t="s">
        <v>80</v>
      </c>
      <c r="F131" s="15">
        <v>2936</v>
      </c>
      <c r="G131" s="15">
        <v>439</v>
      </c>
      <c r="H131" s="15">
        <v>44</v>
      </c>
      <c r="I131" s="15">
        <v>38168</v>
      </c>
      <c r="J131" s="90">
        <v>37571</v>
      </c>
      <c r="K131" s="90">
        <v>22</v>
      </c>
      <c r="L131" s="90" t="s">
        <v>99</v>
      </c>
      <c r="M131" s="90" t="s">
        <v>81</v>
      </c>
      <c r="N131" s="90" t="s">
        <v>666</v>
      </c>
      <c r="O131" s="91">
        <f>(SUM(Table1[[#This Row],[Likes]],Table1[[#This Row],[Shares]],Table1[[#This Row],[Comments]])/Table1[[#This Row],[Impressions]] )</f>
        <v>8.9577656675749323E-2</v>
      </c>
      <c r="P131" s="90" t="s">
        <v>81</v>
      </c>
      <c r="Q131" s="90">
        <f t="shared" si="2"/>
        <v>505</v>
      </c>
    </row>
    <row r="132" spans="1:17" ht="14.25" customHeight="1" x14ac:dyDescent="0.3">
      <c r="A132" s="15" t="s">
        <v>357</v>
      </c>
      <c r="B132" s="15" t="s">
        <v>2</v>
      </c>
      <c r="C132" s="48" t="s">
        <v>224</v>
      </c>
      <c r="D132" s="15" t="s">
        <v>79</v>
      </c>
      <c r="E132" s="15" t="s">
        <v>80</v>
      </c>
      <c r="F132" s="15">
        <v>4840</v>
      </c>
      <c r="G132" s="15">
        <v>658</v>
      </c>
      <c r="H132" s="15">
        <v>211</v>
      </c>
      <c r="I132" s="15">
        <v>43560</v>
      </c>
      <c r="J132" s="90">
        <v>43225</v>
      </c>
      <c r="K132" s="90">
        <v>57</v>
      </c>
      <c r="L132" s="90" t="s">
        <v>88</v>
      </c>
      <c r="M132" s="90" t="s">
        <v>81</v>
      </c>
      <c r="N132" s="90" t="s">
        <v>87</v>
      </c>
      <c r="O132" s="91">
        <f>(SUM(Table1[[#This Row],[Likes]],Table1[[#This Row],[Shares]],Table1[[#This Row],[Comments]])/Table1[[#This Row],[Impressions]] )</f>
        <v>0.13106060606060607</v>
      </c>
      <c r="P132" s="90" t="s">
        <v>126</v>
      </c>
      <c r="Q132" s="90">
        <f t="shared" si="2"/>
        <v>926</v>
      </c>
    </row>
    <row r="133" spans="1:17" ht="14.25" customHeight="1" x14ac:dyDescent="0.3">
      <c r="A133" s="15" t="s">
        <v>358</v>
      </c>
      <c r="B133" s="15" t="s">
        <v>2</v>
      </c>
      <c r="C133" s="48" t="s">
        <v>161</v>
      </c>
      <c r="D133" s="15" t="s">
        <v>94</v>
      </c>
      <c r="E133" s="15" t="s">
        <v>95</v>
      </c>
      <c r="F133" s="15">
        <v>1947</v>
      </c>
      <c r="G133" s="15">
        <v>842</v>
      </c>
      <c r="H133" s="15">
        <v>101</v>
      </c>
      <c r="I133" s="15">
        <v>21417</v>
      </c>
      <c r="J133" s="90">
        <v>20967</v>
      </c>
      <c r="K133" s="90">
        <v>186</v>
      </c>
      <c r="L133" s="90" t="s">
        <v>88</v>
      </c>
      <c r="M133" s="90" t="s">
        <v>87</v>
      </c>
      <c r="N133" s="90" t="s">
        <v>666</v>
      </c>
      <c r="O133" s="91">
        <f>(SUM(Table1[[#This Row],[Likes]],Table1[[#This Row],[Shares]],Table1[[#This Row],[Comments]])/Table1[[#This Row],[Impressions]] )</f>
        <v>0.13493953401503478</v>
      </c>
      <c r="P133" s="90" t="s">
        <v>87</v>
      </c>
      <c r="Q133" s="90">
        <f t="shared" si="2"/>
        <v>1129</v>
      </c>
    </row>
    <row r="134" spans="1:17" ht="14.25" customHeight="1" x14ac:dyDescent="0.3">
      <c r="A134" s="15" t="s">
        <v>359</v>
      </c>
      <c r="B134" s="15" t="s">
        <v>1</v>
      </c>
      <c r="C134" s="48" t="s">
        <v>360</v>
      </c>
      <c r="D134" s="15" t="s">
        <v>109</v>
      </c>
      <c r="E134" s="15" t="s">
        <v>110</v>
      </c>
      <c r="F134" s="15">
        <v>2072</v>
      </c>
      <c r="G134" s="15">
        <v>532</v>
      </c>
      <c r="H134" s="15">
        <v>71</v>
      </c>
      <c r="I134" s="15">
        <v>37296</v>
      </c>
      <c r="J134" s="90">
        <v>36467</v>
      </c>
      <c r="K134" s="90">
        <v>25</v>
      </c>
      <c r="L134" s="90" t="s">
        <v>99</v>
      </c>
      <c r="M134" s="90" t="s">
        <v>81</v>
      </c>
      <c r="N134" s="90" t="s">
        <v>666</v>
      </c>
      <c r="O134" s="91">
        <f>(SUM(Table1[[#This Row],[Likes]],Table1[[#This Row],[Shares]],Table1[[#This Row],[Comments]])/Table1[[#This Row],[Impressions]] )</f>
        <v>7.172350922350923E-2</v>
      </c>
      <c r="P134" s="90" t="s">
        <v>81</v>
      </c>
      <c r="Q134" s="90">
        <f t="shared" si="2"/>
        <v>628</v>
      </c>
    </row>
    <row r="135" spans="1:17" ht="14.25" customHeight="1" x14ac:dyDescent="0.3">
      <c r="A135" s="15" t="s">
        <v>361</v>
      </c>
      <c r="B135" s="15" t="s">
        <v>3</v>
      </c>
      <c r="C135" s="48" t="s">
        <v>362</v>
      </c>
      <c r="D135" s="15" t="s">
        <v>79</v>
      </c>
      <c r="E135" s="15" t="s">
        <v>80</v>
      </c>
      <c r="F135" s="15">
        <v>3731</v>
      </c>
      <c r="G135" s="15">
        <v>115</v>
      </c>
      <c r="H135" s="15">
        <v>135</v>
      </c>
      <c r="I135" s="15">
        <v>55965</v>
      </c>
      <c r="J135" s="90">
        <v>55436</v>
      </c>
      <c r="K135" s="90">
        <v>103</v>
      </c>
      <c r="L135" s="90" t="s">
        <v>115</v>
      </c>
      <c r="M135" s="90" t="s">
        <v>137</v>
      </c>
      <c r="N135" s="90" t="s">
        <v>666</v>
      </c>
      <c r="O135" s="91">
        <f>(SUM(Table1[[#This Row],[Likes]],Table1[[#This Row],[Shares]],Table1[[#This Row],[Comments]])/Table1[[#This Row],[Impressions]] )</f>
        <v>7.1133744304476013E-2</v>
      </c>
      <c r="P135" s="90" t="s">
        <v>137</v>
      </c>
      <c r="Q135" s="90">
        <f t="shared" si="2"/>
        <v>353</v>
      </c>
    </row>
    <row r="136" spans="1:17" ht="14.25" customHeight="1" x14ac:dyDescent="0.3">
      <c r="A136" s="15" t="s">
        <v>363</v>
      </c>
      <c r="B136" s="15" t="s">
        <v>1</v>
      </c>
      <c r="C136" s="48" t="s">
        <v>364</v>
      </c>
      <c r="D136" s="15" t="s">
        <v>85</v>
      </c>
      <c r="E136" s="15" t="s">
        <v>86</v>
      </c>
      <c r="F136" s="15">
        <v>4213</v>
      </c>
      <c r="G136" s="15">
        <v>253</v>
      </c>
      <c r="H136" s="15">
        <v>434</v>
      </c>
      <c r="I136" s="15">
        <v>75834</v>
      </c>
      <c r="J136" s="90">
        <v>75437</v>
      </c>
      <c r="K136" s="90">
        <v>272</v>
      </c>
      <c r="L136" s="90" t="s">
        <v>99</v>
      </c>
      <c r="M136" s="90" t="s">
        <v>104</v>
      </c>
      <c r="N136" s="90" t="s">
        <v>666</v>
      </c>
      <c r="O136" s="91">
        <f>(SUM(Table1[[#This Row],[Likes]],Table1[[#This Row],[Shares]],Table1[[#This Row],[Comments]])/Table1[[#This Row],[Impressions]] )</f>
        <v>6.461481657304112E-2</v>
      </c>
      <c r="P136" s="90" t="s">
        <v>104</v>
      </c>
      <c r="Q136" s="90">
        <f t="shared" si="2"/>
        <v>959</v>
      </c>
    </row>
    <row r="137" spans="1:17" ht="14.25" customHeight="1" x14ac:dyDescent="0.3">
      <c r="A137" s="15" t="s">
        <v>365</v>
      </c>
      <c r="B137" s="15" t="s">
        <v>2</v>
      </c>
      <c r="C137" s="48" t="s">
        <v>366</v>
      </c>
      <c r="D137" s="15" t="s">
        <v>85</v>
      </c>
      <c r="E137" s="15" t="s">
        <v>86</v>
      </c>
      <c r="F137" s="15">
        <v>3134</v>
      </c>
      <c r="G137" s="15">
        <v>888</v>
      </c>
      <c r="H137" s="15">
        <v>444</v>
      </c>
      <c r="I137" s="15">
        <v>21938</v>
      </c>
      <c r="J137" s="90">
        <v>21337</v>
      </c>
      <c r="K137" s="90">
        <v>130</v>
      </c>
      <c r="L137" s="90" t="s">
        <v>115</v>
      </c>
      <c r="M137" s="90" t="s">
        <v>81</v>
      </c>
      <c r="N137" s="90" t="s">
        <v>87</v>
      </c>
      <c r="O137" s="91">
        <f>(SUM(Table1[[#This Row],[Likes]],Table1[[#This Row],[Shares]],Table1[[#This Row],[Comments]])/Table1[[#This Row],[Impressions]] )</f>
        <v>0.20357370772176134</v>
      </c>
      <c r="P137" s="90" t="s">
        <v>126</v>
      </c>
      <c r="Q137" s="90">
        <f t="shared" si="2"/>
        <v>1462</v>
      </c>
    </row>
    <row r="138" spans="1:17" ht="14.25" customHeight="1" x14ac:dyDescent="0.3">
      <c r="A138" s="15" t="s">
        <v>367</v>
      </c>
      <c r="B138" s="15" t="s">
        <v>1</v>
      </c>
      <c r="C138" s="48" t="s">
        <v>171</v>
      </c>
      <c r="D138" s="15" t="s">
        <v>129</v>
      </c>
      <c r="E138" s="15" t="s">
        <v>130</v>
      </c>
      <c r="F138" s="15">
        <v>3008</v>
      </c>
      <c r="G138" s="15">
        <v>94</v>
      </c>
      <c r="H138" s="15">
        <v>37</v>
      </c>
      <c r="I138" s="15">
        <v>15040</v>
      </c>
      <c r="J138" s="90">
        <v>14639</v>
      </c>
      <c r="K138" s="90">
        <v>277</v>
      </c>
      <c r="L138" s="90" t="s">
        <v>82</v>
      </c>
      <c r="M138" s="90" t="s">
        <v>137</v>
      </c>
      <c r="N138" s="90" t="s">
        <v>666</v>
      </c>
      <c r="O138" s="91">
        <f>(SUM(Table1[[#This Row],[Likes]],Table1[[#This Row],[Shares]],Table1[[#This Row],[Comments]])/Table1[[#This Row],[Impressions]] )</f>
        <v>0.20871010638297871</v>
      </c>
      <c r="P138" s="90" t="s">
        <v>137</v>
      </c>
      <c r="Q138" s="90">
        <f t="shared" si="2"/>
        <v>408</v>
      </c>
    </row>
    <row r="139" spans="1:17" ht="14.25" customHeight="1" x14ac:dyDescent="0.3">
      <c r="A139" s="15" t="s">
        <v>368</v>
      </c>
      <c r="B139" s="15" t="s">
        <v>3</v>
      </c>
      <c r="C139" s="48" t="s">
        <v>244</v>
      </c>
      <c r="D139" s="15" t="s">
        <v>109</v>
      </c>
      <c r="E139" s="15" t="s">
        <v>110</v>
      </c>
      <c r="F139" s="15">
        <v>305</v>
      </c>
      <c r="G139" s="15">
        <v>187</v>
      </c>
      <c r="H139" s="15">
        <v>243</v>
      </c>
      <c r="I139" s="15">
        <v>4575</v>
      </c>
      <c r="J139" s="90">
        <v>3704</v>
      </c>
      <c r="K139" s="90">
        <v>234</v>
      </c>
      <c r="L139" s="90" t="s">
        <v>115</v>
      </c>
      <c r="M139" s="90" t="s">
        <v>87</v>
      </c>
      <c r="N139" s="90" t="s">
        <v>104</v>
      </c>
      <c r="O139" s="91">
        <f>(SUM(Table1[[#This Row],[Likes]],Table1[[#This Row],[Shares]],Table1[[#This Row],[Comments]])/Table1[[#This Row],[Impressions]] )</f>
        <v>0.16065573770491803</v>
      </c>
      <c r="P139" s="90" t="s">
        <v>345</v>
      </c>
      <c r="Q139" s="90">
        <f t="shared" si="2"/>
        <v>664</v>
      </c>
    </row>
    <row r="140" spans="1:17" ht="14.25" customHeight="1" x14ac:dyDescent="0.3">
      <c r="A140" s="15" t="s">
        <v>369</v>
      </c>
      <c r="B140" s="15" t="s">
        <v>4</v>
      </c>
      <c r="C140" s="48" t="s">
        <v>370</v>
      </c>
      <c r="D140" s="15" t="s">
        <v>85</v>
      </c>
      <c r="E140" s="15" t="s">
        <v>86</v>
      </c>
      <c r="F140" s="15">
        <v>2746</v>
      </c>
      <c r="G140" s="15">
        <v>156</v>
      </c>
      <c r="H140" s="15">
        <v>203</v>
      </c>
      <c r="I140" s="15">
        <v>32952</v>
      </c>
      <c r="J140" s="90">
        <v>32147</v>
      </c>
      <c r="K140" s="90">
        <v>147</v>
      </c>
      <c r="L140" s="90" t="s">
        <v>88</v>
      </c>
      <c r="M140" s="90" t="s">
        <v>87</v>
      </c>
      <c r="N140" s="90" t="s">
        <v>118</v>
      </c>
      <c r="O140" s="91">
        <f>(SUM(Table1[[#This Row],[Likes]],Table1[[#This Row],[Shares]],Table1[[#This Row],[Comments]])/Table1[[#This Row],[Impressions]] )</f>
        <v>9.422796795338674E-2</v>
      </c>
      <c r="P140" s="90" t="s">
        <v>206</v>
      </c>
      <c r="Q140" s="90">
        <f t="shared" si="2"/>
        <v>506</v>
      </c>
    </row>
    <row r="141" spans="1:17" ht="14.25" customHeight="1" x14ac:dyDescent="0.3">
      <c r="A141" s="15" t="s">
        <v>371</v>
      </c>
      <c r="B141" s="15" t="s">
        <v>1</v>
      </c>
      <c r="C141" s="48" t="s">
        <v>372</v>
      </c>
      <c r="D141" s="15" t="s">
        <v>109</v>
      </c>
      <c r="E141" s="15" t="s">
        <v>110</v>
      </c>
      <c r="F141" s="15">
        <v>2291</v>
      </c>
      <c r="G141" s="15">
        <v>78</v>
      </c>
      <c r="H141" s="15">
        <v>485</v>
      </c>
      <c r="I141" s="15">
        <v>18328</v>
      </c>
      <c r="J141" s="90">
        <v>18101</v>
      </c>
      <c r="K141" s="90">
        <v>10</v>
      </c>
      <c r="L141" s="90" t="s">
        <v>82</v>
      </c>
      <c r="M141" s="90" t="s">
        <v>137</v>
      </c>
      <c r="N141" s="90" t="s">
        <v>666</v>
      </c>
      <c r="O141" s="91">
        <f>(SUM(Table1[[#This Row],[Likes]],Table1[[#This Row],[Shares]],Table1[[#This Row],[Comments]])/Table1[[#This Row],[Impressions]] )</f>
        <v>0.15571802706241816</v>
      </c>
      <c r="P141" s="90" t="s">
        <v>137</v>
      </c>
      <c r="Q141" s="90">
        <f t="shared" si="2"/>
        <v>573</v>
      </c>
    </row>
    <row r="142" spans="1:17" ht="14.25" customHeight="1" x14ac:dyDescent="0.3">
      <c r="A142" s="15" t="s">
        <v>373</v>
      </c>
      <c r="B142" s="15" t="s">
        <v>3</v>
      </c>
      <c r="C142" s="48" t="s">
        <v>374</v>
      </c>
      <c r="D142" s="15" t="s">
        <v>109</v>
      </c>
      <c r="E142" s="15" t="s">
        <v>110</v>
      </c>
      <c r="F142" s="15">
        <v>3170</v>
      </c>
      <c r="G142" s="15">
        <v>857</v>
      </c>
      <c r="H142" s="15">
        <v>379</v>
      </c>
      <c r="I142" s="15">
        <v>19020</v>
      </c>
      <c r="J142" s="90">
        <v>18559</v>
      </c>
      <c r="K142" s="90">
        <v>240</v>
      </c>
      <c r="L142" s="90" t="s">
        <v>99</v>
      </c>
      <c r="M142" s="90" t="s">
        <v>81</v>
      </c>
      <c r="N142" s="90" t="s">
        <v>666</v>
      </c>
      <c r="O142" s="91">
        <f>(SUM(Table1[[#This Row],[Likes]],Table1[[#This Row],[Shares]],Table1[[#This Row],[Comments]])/Table1[[#This Row],[Impressions]] )</f>
        <v>0.2316508937960042</v>
      </c>
      <c r="P142" s="90" t="s">
        <v>81</v>
      </c>
      <c r="Q142" s="90">
        <f t="shared" si="2"/>
        <v>1476</v>
      </c>
    </row>
    <row r="143" spans="1:17" ht="14.25" customHeight="1" x14ac:dyDescent="0.3">
      <c r="A143" s="15" t="s">
        <v>375</v>
      </c>
      <c r="B143" s="15" t="s">
        <v>4</v>
      </c>
      <c r="C143" s="48" t="s">
        <v>319</v>
      </c>
      <c r="D143" s="15" t="s">
        <v>94</v>
      </c>
      <c r="E143" s="15" t="s">
        <v>95</v>
      </c>
      <c r="F143" s="15">
        <v>2070</v>
      </c>
      <c r="G143" s="15">
        <v>275</v>
      </c>
      <c r="H143" s="15">
        <v>386</v>
      </c>
      <c r="I143" s="15">
        <v>39330</v>
      </c>
      <c r="J143" s="90">
        <v>38627</v>
      </c>
      <c r="K143" s="90">
        <v>114</v>
      </c>
      <c r="L143" s="90" t="s">
        <v>115</v>
      </c>
      <c r="M143" s="90" t="s">
        <v>81</v>
      </c>
      <c r="N143" s="90" t="s">
        <v>666</v>
      </c>
      <c r="O143" s="91">
        <f>(SUM(Table1[[#This Row],[Likes]],Table1[[#This Row],[Shares]],Table1[[#This Row],[Comments]])/Table1[[#This Row],[Impressions]] )</f>
        <v>6.9438087973557078E-2</v>
      </c>
      <c r="P143" s="90" t="s">
        <v>81</v>
      </c>
      <c r="Q143" s="90">
        <f t="shared" si="2"/>
        <v>775</v>
      </c>
    </row>
    <row r="144" spans="1:17" ht="14.25" customHeight="1" x14ac:dyDescent="0.3">
      <c r="A144" s="15" t="s">
        <v>376</v>
      </c>
      <c r="B144" s="15" t="s">
        <v>4</v>
      </c>
      <c r="C144" s="48" t="s">
        <v>330</v>
      </c>
      <c r="D144" s="15" t="s">
        <v>102</v>
      </c>
      <c r="E144" s="15" t="s">
        <v>103</v>
      </c>
      <c r="F144" s="15">
        <v>80</v>
      </c>
      <c r="G144" s="15">
        <v>362</v>
      </c>
      <c r="H144" s="15">
        <v>80</v>
      </c>
      <c r="I144" s="15">
        <v>1040</v>
      </c>
      <c r="J144" s="90">
        <v>349</v>
      </c>
      <c r="K144" s="90">
        <v>117</v>
      </c>
      <c r="L144" s="90" t="s">
        <v>88</v>
      </c>
      <c r="M144" s="90" t="s">
        <v>87</v>
      </c>
      <c r="N144" s="90" t="s">
        <v>118</v>
      </c>
      <c r="O144" s="91">
        <f>(SUM(Table1[[#This Row],[Likes]],Table1[[#This Row],[Shares]],Table1[[#This Row],[Comments]])/Table1[[#This Row],[Impressions]] )</f>
        <v>0.50192307692307692</v>
      </c>
      <c r="P144" s="90" t="s">
        <v>206</v>
      </c>
      <c r="Q144" s="90">
        <f t="shared" si="2"/>
        <v>559</v>
      </c>
    </row>
    <row r="145" spans="1:17" ht="14.25" customHeight="1" x14ac:dyDescent="0.3">
      <c r="A145" s="15" t="s">
        <v>377</v>
      </c>
      <c r="B145" s="15" t="s">
        <v>4</v>
      </c>
      <c r="C145" s="48" t="s">
        <v>257</v>
      </c>
      <c r="D145" s="15" t="s">
        <v>94</v>
      </c>
      <c r="E145" s="15" t="s">
        <v>95</v>
      </c>
      <c r="F145" s="15">
        <v>4929</v>
      </c>
      <c r="G145" s="15">
        <v>749</v>
      </c>
      <c r="H145" s="15">
        <v>452</v>
      </c>
      <c r="I145" s="15">
        <v>93651</v>
      </c>
      <c r="J145" s="90">
        <v>92810</v>
      </c>
      <c r="K145" s="90">
        <v>66</v>
      </c>
      <c r="L145" s="90" t="s">
        <v>82</v>
      </c>
      <c r="M145" s="90" t="s">
        <v>104</v>
      </c>
      <c r="N145" s="90" t="s">
        <v>118</v>
      </c>
      <c r="O145" s="91">
        <f>(SUM(Table1[[#This Row],[Likes]],Table1[[#This Row],[Shares]],Table1[[#This Row],[Comments]])/Table1[[#This Row],[Impressions]] )</f>
        <v>6.5455787978772245E-2</v>
      </c>
      <c r="P145" s="90" t="s">
        <v>274</v>
      </c>
      <c r="Q145" s="90">
        <f t="shared" si="2"/>
        <v>1267</v>
      </c>
    </row>
    <row r="146" spans="1:17" ht="14.25" customHeight="1" x14ac:dyDescent="0.3">
      <c r="A146" s="15" t="s">
        <v>378</v>
      </c>
      <c r="B146" s="15" t="s">
        <v>2</v>
      </c>
      <c r="C146" s="48" t="s">
        <v>93</v>
      </c>
      <c r="D146" s="15" t="s">
        <v>102</v>
      </c>
      <c r="E146" s="15" t="s">
        <v>103</v>
      </c>
      <c r="F146" s="15">
        <v>1878</v>
      </c>
      <c r="G146" s="15">
        <v>62</v>
      </c>
      <c r="H146" s="15">
        <v>179</v>
      </c>
      <c r="I146" s="15">
        <v>37560</v>
      </c>
      <c r="J146" s="90">
        <v>36874</v>
      </c>
      <c r="K146" s="90">
        <v>142</v>
      </c>
      <c r="L146" s="90" t="s">
        <v>82</v>
      </c>
      <c r="M146" s="90" t="s">
        <v>137</v>
      </c>
      <c r="N146" s="90" t="s">
        <v>104</v>
      </c>
      <c r="O146" s="91">
        <f>(SUM(Table1[[#This Row],[Likes]],Table1[[#This Row],[Shares]],Table1[[#This Row],[Comments]])/Table1[[#This Row],[Impressions]] )</f>
        <v>5.6416400425985093E-2</v>
      </c>
      <c r="P146" s="90" t="s">
        <v>238</v>
      </c>
      <c r="Q146" s="90">
        <f t="shared" si="2"/>
        <v>383</v>
      </c>
    </row>
    <row r="147" spans="1:17" ht="14.25" customHeight="1" x14ac:dyDescent="0.3">
      <c r="A147" s="15" t="s">
        <v>379</v>
      </c>
      <c r="B147" s="15" t="s">
        <v>4</v>
      </c>
      <c r="C147" s="48" t="s">
        <v>380</v>
      </c>
      <c r="D147" s="15" t="s">
        <v>79</v>
      </c>
      <c r="E147" s="15" t="s">
        <v>80</v>
      </c>
      <c r="F147" s="15">
        <v>3065</v>
      </c>
      <c r="G147" s="15">
        <v>772</v>
      </c>
      <c r="H147" s="15">
        <v>142</v>
      </c>
      <c r="I147" s="15">
        <v>18390</v>
      </c>
      <c r="J147" s="90">
        <v>17875</v>
      </c>
      <c r="K147" s="90">
        <v>200</v>
      </c>
      <c r="L147" s="90" t="s">
        <v>82</v>
      </c>
      <c r="M147" s="90" t="s">
        <v>118</v>
      </c>
      <c r="N147" s="90" t="s">
        <v>666</v>
      </c>
      <c r="O147" s="91">
        <f>(SUM(Table1[[#This Row],[Likes]],Table1[[#This Row],[Shares]],Table1[[#This Row],[Comments]])/Table1[[#This Row],[Impressions]] )</f>
        <v>0.21636759108210984</v>
      </c>
      <c r="P147" s="90" t="s">
        <v>118</v>
      </c>
      <c r="Q147" s="90">
        <f t="shared" si="2"/>
        <v>1114</v>
      </c>
    </row>
    <row r="148" spans="1:17" ht="14.25" customHeight="1" x14ac:dyDescent="0.3">
      <c r="A148" s="15" t="s">
        <v>381</v>
      </c>
      <c r="B148" s="15" t="s">
        <v>2</v>
      </c>
      <c r="C148" s="48" t="s">
        <v>224</v>
      </c>
      <c r="D148" s="15" t="s">
        <v>79</v>
      </c>
      <c r="E148" s="15" t="s">
        <v>80</v>
      </c>
      <c r="F148" s="15">
        <v>3256</v>
      </c>
      <c r="G148" s="15">
        <v>459</v>
      </c>
      <c r="H148" s="15">
        <v>266</v>
      </c>
      <c r="I148" s="15">
        <v>26048</v>
      </c>
      <c r="J148" s="90">
        <v>25529</v>
      </c>
      <c r="K148" s="90">
        <v>143</v>
      </c>
      <c r="L148" s="90" t="s">
        <v>99</v>
      </c>
      <c r="M148" s="90" t="s">
        <v>81</v>
      </c>
      <c r="N148" s="90" t="s">
        <v>118</v>
      </c>
      <c r="O148" s="91">
        <f>(SUM(Table1[[#This Row],[Likes]],Table1[[#This Row],[Shares]],Table1[[#This Row],[Comments]])/Table1[[#This Row],[Impressions]] )</f>
        <v>0.15283323095823095</v>
      </c>
      <c r="P148" s="90" t="s">
        <v>142</v>
      </c>
      <c r="Q148" s="90">
        <f t="shared" si="2"/>
        <v>868</v>
      </c>
    </row>
    <row r="149" spans="1:17" ht="14.25" customHeight="1" x14ac:dyDescent="0.3">
      <c r="A149" s="15" t="s">
        <v>382</v>
      </c>
      <c r="B149" s="15" t="s">
        <v>2</v>
      </c>
      <c r="C149" s="48" t="s">
        <v>226</v>
      </c>
      <c r="D149" s="15" t="s">
        <v>129</v>
      </c>
      <c r="E149" s="15" t="s">
        <v>130</v>
      </c>
      <c r="F149" s="15">
        <v>4133</v>
      </c>
      <c r="G149" s="15">
        <v>466</v>
      </c>
      <c r="H149" s="15">
        <v>327</v>
      </c>
      <c r="I149" s="15">
        <v>24798</v>
      </c>
      <c r="J149" s="90">
        <v>24620</v>
      </c>
      <c r="K149" s="90">
        <v>176</v>
      </c>
      <c r="L149" s="90" t="s">
        <v>88</v>
      </c>
      <c r="M149" s="90" t="s">
        <v>118</v>
      </c>
      <c r="N149" s="90" t="s">
        <v>666</v>
      </c>
      <c r="O149" s="91">
        <f>(SUM(Table1[[#This Row],[Likes]],Table1[[#This Row],[Shares]],Table1[[#This Row],[Comments]])/Table1[[#This Row],[Impressions]] )</f>
        <v>0.19864505202032423</v>
      </c>
      <c r="P149" s="90" t="s">
        <v>118</v>
      </c>
      <c r="Q149" s="90">
        <f t="shared" si="2"/>
        <v>969</v>
      </c>
    </row>
    <row r="150" spans="1:17" ht="14.25" customHeight="1" x14ac:dyDescent="0.3">
      <c r="A150" s="15" t="s">
        <v>383</v>
      </c>
      <c r="B150" s="15" t="s">
        <v>3</v>
      </c>
      <c r="C150" s="48" t="s">
        <v>384</v>
      </c>
      <c r="D150" s="15" t="s">
        <v>129</v>
      </c>
      <c r="E150" s="15" t="s">
        <v>130</v>
      </c>
      <c r="F150" s="15">
        <v>1702</v>
      </c>
      <c r="G150" s="15">
        <v>750</v>
      </c>
      <c r="H150" s="15">
        <v>179</v>
      </c>
      <c r="I150" s="15">
        <v>34040</v>
      </c>
      <c r="J150" s="90">
        <v>33174</v>
      </c>
      <c r="K150" s="90">
        <v>76</v>
      </c>
      <c r="L150" s="90" t="s">
        <v>99</v>
      </c>
      <c r="M150" s="90" t="s">
        <v>104</v>
      </c>
      <c r="N150" s="90" t="s">
        <v>666</v>
      </c>
      <c r="O150" s="91">
        <f>(SUM(Table1[[#This Row],[Likes]],Table1[[#This Row],[Shares]],Table1[[#This Row],[Comments]])/Table1[[#This Row],[Impressions]] )</f>
        <v>7.7291421856639245E-2</v>
      </c>
      <c r="P150" s="90" t="s">
        <v>104</v>
      </c>
      <c r="Q150" s="90">
        <f t="shared" si="2"/>
        <v>1005</v>
      </c>
    </row>
    <row r="151" spans="1:17" ht="14.25" customHeight="1" x14ac:dyDescent="0.3">
      <c r="A151" s="15" t="s">
        <v>385</v>
      </c>
      <c r="B151" s="15" t="s">
        <v>4</v>
      </c>
      <c r="C151" s="48" t="s">
        <v>386</v>
      </c>
      <c r="D151" s="15" t="s">
        <v>102</v>
      </c>
      <c r="E151" s="15" t="s">
        <v>103</v>
      </c>
      <c r="F151" s="15">
        <v>4295</v>
      </c>
      <c r="G151" s="15">
        <v>853</v>
      </c>
      <c r="H151" s="15">
        <v>325</v>
      </c>
      <c r="I151" s="15">
        <v>85900</v>
      </c>
      <c r="J151" s="90">
        <v>85788</v>
      </c>
      <c r="K151" s="90">
        <v>290</v>
      </c>
      <c r="L151" s="90" t="s">
        <v>88</v>
      </c>
      <c r="M151" s="90" t="s">
        <v>104</v>
      </c>
      <c r="N151" s="90" t="s">
        <v>81</v>
      </c>
      <c r="O151" s="91">
        <f>(SUM(Table1[[#This Row],[Likes]],Table1[[#This Row],[Shares]],Table1[[#This Row],[Comments]])/Table1[[#This Row],[Impressions]] )</f>
        <v>6.3713620488940623E-2</v>
      </c>
      <c r="P151" s="90" t="s">
        <v>269</v>
      </c>
      <c r="Q151" s="90">
        <f t="shared" si="2"/>
        <v>1468</v>
      </c>
    </row>
    <row r="152" spans="1:17" ht="14.25" customHeight="1" x14ac:dyDescent="0.3">
      <c r="A152" s="15" t="s">
        <v>387</v>
      </c>
      <c r="B152" s="15" t="s">
        <v>2</v>
      </c>
      <c r="C152" s="48" t="s">
        <v>242</v>
      </c>
      <c r="D152" s="15" t="s">
        <v>109</v>
      </c>
      <c r="E152" s="15" t="s">
        <v>110</v>
      </c>
      <c r="F152" s="15">
        <v>3559</v>
      </c>
      <c r="G152" s="15">
        <v>59</v>
      </c>
      <c r="H152" s="15">
        <v>289</v>
      </c>
      <c r="I152" s="15">
        <v>35590</v>
      </c>
      <c r="J152" s="90">
        <v>35105</v>
      </c>
      <c r="K152" s="90">
        <v>122</v>
      </c>
      <c r="L152" s="90" t="s">
        <v>99</v>
      </c>
      <c r="M152" s="90" t="s">
        <v>104</v>
      </c>
      <c r="N152" s="90" t="s">
        <v>118</v>
      </c>
      <c r="O152" s="91">
        <f>(SUM(Table1[[#This Row],[Likes]],Table1[[#This Row],[Shares]],Table1[[#This Row],[Comments]])/Table1[[#This Row],[Impressions]] )</f>
        <v>0.10977802753582468</v>
      </c>
      <c r="P152" s="90" t="s">
        <v>274</v>
      </c>
      <c r="Q152" s="90">
        <f t="shared" si="2"/>
        <v>470</v>
      </c>
    </row>
    <row r="153" spans="1:17" ht="14.25" customHeight="1" x14ac:dyDescent="0.3">
      <c r="A153" s="15" t="s">
        <v>388</v>
      </c>
      <c r="B153" s="15" t="s">
        <v>1</v>
      </c>
      <c r="C153" s="48" t="s">
        <v>389</v>
      </c>
      <c r="D153" s="15" t="s">
        <v>109</v>
      </c>
      <c r="E153" s="15" t="s">
        <v>110</v>
      </c>
      <c r="F153" s="15">
        <v>4804</v>
      </c>
      <c r="G153" s="15">
        <v>550</v>
      </c>
      <c r="H153" s="15">
        <v>270</v>
      </c>
      <c r="I153" s="15">
        <v>28824</v>
      </c>
      <c r="J153" s="90">
        <v>28370</v>
      </c>
      <c r="K153" s="90">
        <v>47</v>
      </c>
      <c r="L153" s="90" t="s">
        <v>115</v>
      </c>
      <c r="M153" s="90" t="s">
        <v>81</v>
      </c>
      <c r="N153" s="90" t="s">
        <v>118</v>
      </c>
      <c r="O153" s="91">
        <f>(SUM(Table1[[#This Row],[Likes]],Table1[[#This Row],[Shares]],Table1[[#This Row],[Comments]])/Table1[[#This Row],[Impressions]] )</f>
        <v>0.19511518179295032</v>
      </c>
      <c r="P153" s="90" t="s">
        <v>142</v>
      </c>
      <c r="Q153" s="90">
        <f t="shared" si="2"/>
        <v>867</v>
      </c>
    </row>
    <row r="154" spans="1:17" ht="14.25" customHeight="1" x14ac:dyDescent="0.3">
      <c r="A154" s="15" t="s">
        <v>390</v>
      </c>
      <c r="B154" s="15" t="s">
        <v>3</v>
      </c>
      <c r="C154" s="48" t="s">
        <v>391</v>
      </c>
      <c r="D154" s="15" t="s">
        <v>129</v>
      </c>
      <c r="E154" s="15" t="s">
        <v>130</v>
      </c>
      <c r="F154" s="15">
        <v>754</v>
      </c>
      <c r="G154" s="15">
        <v>197</v>
      </c>
      <c r="H154" s="15">
        <v>257</v>
      </c>
      <c r="I154" s="15">
        <v>6786</v>
      </c>
      <c r="J154" s="90">
        <v>6221</v>
      </c>
      <c r="K154" s="90">
        <v>212</v>
      </c>
      <c r="L154" s="90" t="s">
        <v>99</v>
      </c>
      <c r="M154" s="90" t="s">
        <v>137</v>
      </c>
      <c r="N154" s="90" t="s">
        <v>104</v>
      </c>
      <c r="O154" s="91">
        <f>(SUM(Table1[[#This Row],[Likes]],Table1[[#This Row],[Shares]],Table1[[#This Row],[Comments]])/Table1[[#This Row],[Impressions]] )</f>
        <v>0.17801355732390214</v>
      </c>
      <c r="P154" s="90" t="s">
        <v>238</v>
      </c>
      <c r="Q154" s="90">
        <f t="shared" si="2"/>
        <v>666</v>
      </c>
    </row>
    <row r="155" spans="1:17" ht="14.25" customHeight="1" x14ac:dyDescent="0.3">
      <c r="A155" s="15" t="s">
        <v>392</v>
      </c>
      <c r="B155" s="15" t="s">
        <v>2</v>
      </c>
      <c r="C155" s="48" t="s">
        <v>265</v>
      </c>
      <c r="D155" s="15" t="s">
        <v>102</v>
      </c>
      <c r="E155" s="15" t="s">
        <v>103</v>
      </c>
      <c r="F155" s="15">
        <v>985</v>
      </c>
      <c r="G155" s="15">
        <v>932</v>
      </c>
      <c r="H155" s="15">
        <v>287</v>
      </c>
      <c r="I155" s="15">
        <v>6895</v>
      </c>
      <c r="J155" s="90">
        <v>6757</v>
      </c>
      <c r="K155" s="90">
        <v>64</v>
      </c>
      <c r="L155" s="90" t="s">
        <v>88</v>
      </c>
      <c r="M155" s="90" t="s">
        <v>81</v>
      </c>
      <c r="N155" s="90" t="s">
        <v>87</v>
      </c>
      <c r="O155" s="91">
        <f>(SUM(Table1[[#This Row],[Likes]],Table1[[#This Row],[Shares]],Table1[[#This Row],[Comments]])/Table1[[#This Row],[Impressions]] )</f>
        <v>0.31965192168237855</v>
      </c>
      <c r="P155" s="90" t="s">
        <v>126</v>
      </c>
      <c r="Q155" s="90">
        <f t="shared" si="2"/>
        <v>1283</v>
      </c>
    </row>
    <row r="156" spans="1:17" ht="14.25" customHeight="1" x14ac:dyDescent="0.3">
      <c r="A156" s="15" t="s">
        <v>393</v>
      </c>
      <c r="B156" s="15" t="s">
        <v>4</v>
      </c>
      <c r="C156" s="48" t="s">
        <v>394</v>
      </c>
      <c r="D156" s="15" t="s">
        <v>109</v>
      </c>
      <c r="E156" s="15" t="s">
        <v>110</v>
      </c>
      <c r="F156" s="15">
        <v>2283</v>
      </c>
      <c r="G156" s="15">
        <v>210</v>
      </c>
      <c r="H156" s="15">
        <v>130</v>
      </c>
      <c r="I156" s="15">
        <v>22830</v>
      </c>
      <c r="J156" s="90">
        <v>22617</v>
      </c>
      <c r="K156" s="90">
        <v>143</v>
      </c>
      <c r="L156" s="90" t="s">
        <v>99</v>
      </c>
      <c r="M156" s="90" t="s">
        <v>87</v>
      </c>
      <c r="N156" s="90" t="s">
        <v>118</v>
      </c>
      <c r="O156" s="91">
        <f>(SUM(Table1[[#This Row],[Likes]],Table1[[#This Row],[Shares]],Table1[[#This Row],[Comments]])/Table1[[#This Row],[Impressions]] )</f>
        <v>0.11489268506351293</v>
      </c>
      <c r="P156" s="90" t="s">
        <v>206</v>
      </c>
      <c r="Q156" s="90">
        <f t="shared" si="2"/>
        <v>483</v>
      </c>
    </row>
    <row r="157" spans="1:17" ht="14.25" customHeight="1" x14ac:dyDescent="0.3">
      <c r="A157" s="15" t="s">
        <v>395</v>
      </c>
      <c r="B157" s="15" t="s">
        <v>1</v>
      </c>
      <c r="C157" s="48" t="s">
        <v>396</v>
      </c>
      <c r="D157" s="15" t="s">
        <v>102</v>
      </c>
      <c r="E157" s="15" t="s">
        <v>103</v>
      </c>
      <c r="F157" s="15">
        <v>3352</v>
      </c>
      <c r="G157" s="15">
        <v>941</v>
      </c>
      <c r="H157" s="15">
        <v>482</v>
      </c>
      <c r="I157" s="15">
        <v>43576</v>
      </c>
      <c r="J157" s="90">
        <v>43338</v>
      </c>
      <c r="K157" s="90">
        <v>240</v>
      </c>
      <c r="L157" s="90" t="s">
        <v>99</v>
      </c>
      <c r="M157" s="90" t="s">
        <v>104</v>
      </c>
      <c r="N157" s="90" t="s">
        <v>666</v>
      </c>
      <c r="O157" s="91">
        <f>(SUM(Table1[[#This Row],[Likes]],Table1[[#This Row],[Shares]],Table1[[#This Row],[Comments]])/Table1[[#This Row],[Impressions]] )</f>
        <v>0.1095786671562328</v>
      </c>
      <c r="P157" s="90" t="s">
        <v>104</v>
      </c>
      <c r="Q157" s="90">
        <f t="shared" si="2"/>
        <v>1663</v>
      </c>
    </row>
    <row r="158" spans="1:17" ht="14.25" customHeight="1" x14ac:dyDescent="0.3">
      <c r="A158" s="15" t="s">
        <v>397</v>
      </c>
      <c r="B158" s="15" t="s">
        <v>4</v>
      </c>
      <c r="C158" s="48" t="s">
        <v>398</v>
      </c>
      <c r="D158" s="15" t="s">
        <v>94</v>
      </c>
      <c r="E158" s="15" t="s">
        <v>95</v>
      </c>
      <c r="F158" s="15">
        <v>4775</v>
      </c>
      <c r="G158" s="15">
        <v>173</v>
      </c>
      <c r="H158" s="15">
        <v>206</v>
      </c>
      <c r="I158" s="15">
        <v>47750</v>
      </c>
      <c r="J158" s="90">
        <v>47544</v>
      </c>
      <c r="K158" s="90">
        <v>187</v>
      </c>
      <c r="L158" s="90" t="s">
        <v>115</v>
      </c>
      <c r="M158" s="90" t="s">
        <v>118</v>
      </c>
      <c r="N158" s="90" t="s">
        <v>104</v>
      </c>
      <c r="O158" s="91">
        <f>(SUM(Table1[[#This Row],[Likes]],Table1[[#This Row],[Shares]],Table1[[#This Row],[Comments]])/Table1[[#This Row],[Impressions]] )</f>
        <v>0.10793717277486911</v>
      </c>
      <c r="P158" s="90" t="s">
        <v>147</v>
      </c>
      <c r="Q158" s="90">
        <f t="shared" si="2"/>
        <v>566</v>
      </c>
    </row>
    <row r="159" spans="1:17" ht="14.25" customHeight="1" x14ac:dyDescent="0.3">
      <c r="A159" s="15" t="s">
        <v>399</v>
      </c>
      <c r="B159" s="15" t="s">
        <v>2</v>
      </c>
      <c r="C159" s="48" t="s">
        <v>400</v>
      </c>
      <c r="D159" s="15" t="s">
        <v>94</v>
      </c>
      <c r="E159" s="15" t="s">
        <v>95</v>
      </c>
      <c r="F159" s="15">
        <v>1762</v>
      </c>
      <c r="G159" s="15">
        <v>405</v>
      </c>
      <c r="H159" s="15">
        <v>423</v>
      </c>
      <c r="I159" s="15">
        <v>22906</v>
      </c>
      <c r="J159" s="90">
        <v>21925</v>
      </c>
      <c r="K159" s="90">
        <v>25</v>
      </c>
      <c r="L159" s="90" t="s">
        <v>88</v>
      </c>
      <c r="M159" s="90" t="s">
        <v>137</v>
      </c>
      <c r="N159" s="90" t="s">
        <v>666</v>
      </c>
      <c r="O159" s="91">
        <f>(SUM(Table1[[#This Row],[Likes]],Table1[[#This Row],[Shares]],Table1[[#This Row],[Comments]])/Table1[[#This Row],[Impressions]] )</f>
        <v>0.11307081114118571</v>
      </c>
      <c r="P159" s="90" t="s">
        <v>137</v>
      </c>
      <c r="Q159" s="90">
        <f t="shared" si="2"/>
        <v>853</v>
      </c>
    </row>
    <row r="160" spans="1:17" ht="14.25" customHeight="1" x14ac:dyDescent="0.3">
      <c r="A160" s="15" t="s">
        <v>401</v>
      </c>
      <c r="B160" s="15" t="s">
        <v>1</v>
      </c>
      <c r="C160" s="48" t="s">
        <v>186</v>
      </c>
      <c r="D160" s="15" t="s">
        <v>94</v>
      </c>
      <c r="E160" s="15" t="s">
        <v>95</v>
      </c>
      <c r="F160" s="15">
        <v>2120</v>
      </c>
      <c r="G160" s="15">
        <v>158</v>
      </c>
      <c r="H160" s="15">
        <v>488</v>
      </c>
      <c r="I160" s="15">
        <v>12720</v>
      </c>
      <c r="J160" s="90">
        <v>12085</v>
      </c>
      <c r="K160" s="90">
        <v>17</v>
      </c>
      <c r="L160" s="90" t="s">
        <v>88</v>
      </c>
      <c r="M160" s="90" t="s">
        <v>118</v>
      </c>
      <c r="N160" s="90" t="s">
        <v>104</v>
      </c>
      <c r="O160" s="91">
        <f>(SUM(Table1[[#This Row],[Likes]],Table1[[#This Row],[Shares]],Table1[[#This Row],[Comments]])/Table1[[#This Row],[Impressions]] )</f>
        <v>0.21745283018867925</v>
      </c>
      <c r="P160" s="90" t="s">
        <v>147</v>
      </c>
      <c r="Q160" s="90">
        <f t="shared" si="2"/>
        <v>663</v>
      </c>
    </row>
    <row r="161" spans="1:17" ht="14.25" customHeight="1" x14ac:dyDescent="0.3">
      <c r="A161" s="15" t="s">
        <v>402</v>
      </c>
      <c r="B161" s="15" t="s">
        <v>3</v>
      </c>
      <c r="C161" s="48" t="s">
        <v>403</v>
      </c>
      <c r="D161" s="15" t="s">
        <v>129</v>
      </c>
      <c r="E161" s="15" t="s">
        <v>130</v>
      </c>
      <c r="F161" s="15">
        <v>1082</v>
      </c>
      <c r="G161" s="15">
        <v>209</v>
      </c>
      <c r="H161" s="15">
        <v>484</v>
      </c>
      <c r="I161" s="15">
        <v>19476</v>
      </c>
      <c r="J161" s="90">
        <v>18654</v>
      </c>
      <c r="K161" s="90">
        <v>20</v>
      </c>
      <c r="L161" s="90" t="s">
        <v>115</v>
      </c>
      <c r="M161" s="90" t="s">
        <v>118</v>
      </c>
      <c r="N161" s="90" t="s">
        <v>666</v>
      </c>
      <c r="O161" s="91">
        <f>(SUM(Table1[[#This Row],[Likes]],Table1[[#This Row],[Shares]],Table1[[#This Row],[Comments]])/Table1[[#This Row],[Impressions]] )</f>
        <v>9.1137810638734856E-2</v>
      </c>
      <c r="P161" s="90" t="s">
        <v>118</v>
      </c>
      <c r="Q161" s="90">
        <f t="shared" si="2"/>
        <v>713</v>
      </c>
    </row>
    <row r="162" spans="1:17" ht="14.25" customHeight="1" x14ac:dyDescent="0.3">
      <c r="A162" s="15" t="s">
        <v>404</v>
      </c>
      <c r="B162" s="15" t="s">
        <v>3</v>
      </c>
      <c r="C162" s="48" t="s">
        <v>405</v>
      </c>
      <c r="D162" s="15" t="s">
        <v>85</v>
      </c>
      <c r="E162" s="15" t="s">
        <v>86</v>
      </c>
      <c r="F162" s="15">
        <v>4671</v>
      </c>
      <c r="G162" s="15">
        <v>876</v>
      </c>
      <c r="H162" s="15">
        <v>366</v>
      </c>
      <c r="I162" s="15">
        <v>51381</v>
      </c>
      <c r="J162" s="90">
        <v>50565</v>
      </c>
      <c r="K162" s="90">
        <v>245</v>
      </c>
      <c r="L162" s="90" t="s">
        <v>88</v>
      </c>
      <c r="M162" s="90" t="s">
        <v>81</v>
      </c>
      <c r="N162" s="90" t="s">
        <v>666</v>
      </c>
      <c r="O162" s="91">
        <f>(SUM(Table1[[#This Row],[Likes]],Table1[[#This Row],[Shares]],Table1[[#This Row],[Comments]])/Table1[[#This Row],[Impressions]] )</f>
        <v>0.11508145034156594</v>
      </c>
      <c r="P162" s="90" t="s">
        <v>81</v>
      </c>
      <c r="Q162" s="90">
        <f t="shared" si="2"/>
        <v>1487</v>
      </c>
    </row>
    <row r="163" spans="1:17" ht="14.25" customHeight="1" x14ac:dyDescent="0.3">
      <c r="A163" s="15" t="s">
        <v>406</v>
      </c>
      <c r="B163" s="15" t="s">
        <v>1</v>
      </c>
      <c r="C163" s="48" t="s">
        <v>407</v>
      </c>
      <c r="D163" s="15" t="s">
        <v>94</v>
      </c>
      <c r="E163" s="15" t="s">
        <v>95</v>
      </c>
      <c r="F163" s="15">
        <v>3430</v>
      </c>
      <c r="G163" s="15">
        <v>566</v>
      </c>
      <c r="H163" s="15">
        <v>164</v>
      </c>
      <c r="I163" s="15">
        <v>48020</v>
      </c>
      <c r="J163" s="90">
        <v>47305</v>
      </c>
      <c r="K163" s="90">
        <v>120</v>
      </c>
      <c r="L163" s="90" t="s">
        <v>88</v>
      </c>
      <c r="M163" s="90" t="s">
        <v>104</v>
      </c>
      <c r="N163" s="90" t="s">
        <v>666</v>
      </c>
      <c r="O163" s="91">
        <f>(SUM(Table1[[#This Row],[Likes]],Table1[[#This Row],[Shares]],Table1[[#This Row],[Comments]])/Table1[[#This Row],[Impressions]] )</f>
        <v>8.6630570595585168E-2</v>
      </c>
      <c r="P163" s="90" t="s">
        <v>104</v>
      </c>
      <c r="Q163" s="90">
        <f t="shared" si="2"/>
        <v>850</v>
      </c>
    </row>
    <row r="164" spans="1:17" ht="14.25" customHeight="1" x14ac:dyDescent="0.3">
      <c r="A164" s="15" t="s">
        <v>408</v>
      </c>
      <c r="B164" s="15" t="s">
        <v>2</v>
      </c>
      <c r="C164" s="48" t="s">
        <v>409</v>
      </c>
      <c r="D164" s="15" t="s">
        <v>109</v>
      </c>
      <c r="E164" s="15" t="s">
        <v>110</v>
      </c>
      <c r="F164" s="15">
        <v>4501</v>
      </c>
      <c r="G164" s="15">
        <v>375</v>
      </c>
      <c r="H164" s="15">
        <v>323</v>
      </c>
      <c r="I164" s="15">
        <v>22505</v>
      </c>
      <c r="J164" s="90">
        <v>21836</v>
      </c>
      <c r="K164" s="90">
        <v>132</v>
      </c>
      <c r="L164" s="90" t="s">
        <v>115</v>
      </c>
      <c r="M164" s="90" t="s">
        <v>87</v>
      </c>
      <c r="N164" s="90" t="s">
        <v>666</v>
      </c>
      <c r="O164" s="91">
        <f>(SUM(Table1[[#This Row],[Likes]],Table1[[#This Row],[Shares]],Table1[[#This Row],[Comments]])/Table1[[#This Row],[Impressions]] )</f>
        <v>0.23101532992668297</v>
      </c>
      <c r="P164" s="90" t="s">
        <v>87</v>
      </c>
      <c r="Q164" s="90">
        <f t="shared" si="2"/>
        <v>830</v>
      </c>
    </row>
    <row r="165" spans="1:17" ht="14.25" customHeight="1" x14ac:dyDescent="0.3">
      <c r="A165" s="15" t="s">
        <v>410</v>
      </c>
      <c r="B165" s="15" t="s">
        <v>4</v>
      </c>
      <c r="C165" s="48" t="s">
        <v>149</v>
      </c>
      <c r="D165" s="15" t="s">
        <v>85</v>
      </c>
      <c r="E165" s="15" t="s">
        <v>86</v>
      </c>
      <c r="F165" s="15">
        <v>4934</v>
      </c>
      <c r="G165" s="15">
        <v>971</v>
      </c>
      <c r="H165" s="15">
        <v>156</v>
      </c>
      <c r="I165" s="15">
        <v>39472</v>
      </c>
      <c r="J165" s="90">
        <v>39025</v>
      </c>
      <c r="K165" s="90">
        <v>169</v>
      </c>
      <c r="L165" s="90" t="s">
        <v>88</v>
      </c>
      <c r="M165" s="90" t="s">
        <v>137</v>
      </c>
      <c r="N165" s="90" t="s">
        <v>118</v>
      </c>
      <c r="O165" s="91">
        <f>(SUM(Table1[[#This Row],[Likes]],Table1[[#This Row],[Shares]],Table1[[#This Row],[Comments]])/Table1[[#This Row],[Impressions]] )</f>
        <v>0.15355188488042157</v>
      </c>
      <c r="P165" s="90" t="s">
        <v>324</v>
      </c>
      <c r="Q165" s="90">
        <f t="shared" si="2"/>
        <v>1296</v>
      </c>
    </row>
    <row r="166" spans="1:17" ht="14.25" customHeight="1" x14ac:dyDescent="0.3">
      <c r="A166" s="15" t="s">
        <v>411</v>
      </c>
      <c r="B166" s="15" t="s">
        <v>3</v>
      </c>
      <c r="C166" s="48" t="s">
        <v>292</v>
      </c>
      <c r="D166" s="15" t="s">
        <v>85</v>
      </c>
      <c r="E166" s="15" t="s">
        <v>86</v>
      </c>
      <c r="F166" s="15">
        <v>3239</v>
      </c>
      <c r="G166" s="15">
        <v>43</v>
      </c>
      <c r="H166" s="15">
        <v>211</v>
      </c>
      <c r="I166" s="15">
        <v>22673</v>
      </c>
      <c r="J166" s="90">
        <v>22171</v>
      </c>
      <c r="K166" s="90">
        <v>230</v>
      </c>
      <c r="L166" s="90" t="s">
        <v>88</v>
      </c>
      <c r="M166" s="90" t="s">
        <v>104</v>
      </c>
      <c r="N166" s="90" t="s">
        <v>118</v>
      </c>
      <c r="O166" s="91">
        <f>(SUM(Table1[[#This Row],[Likes]],Table1[[#This Row],[Shares]],Table1[[#This Row],[Comments]])/Table1[[#This Row],[Impressions]] )</f>
        <v>0.15405989502933004</v>
      </c>
      <c r="P166" s="90" t="s">
        <v>274</v>
      </c>
      <c r="Q166" s="90">
        <f t="shared" si="2"/>
        <v>484</v>
      </c>
    </row>
    <row r="167" spans="1:17" ht="14.25" customHeight="1" x14ac:dyDescent="0.3">
      <c r="A167" s="15" t="s">
        <v>412</v>
      </c>
      <c r="B167" s="15" t="s">
        <v>3</v>
      </c>
      <c r="C167" s="48" t="s">
        <v>125</v>
      </c>
      <c r="D167" s="15" t="s">
        <v>79</v>
      </c>
      <c r="E167" s="15" t="s">
        <v>80</v>
      </c>
      <c r="F167" s="15">
        <v>1076</v>
      </c>
      <c r="G167" s="15">
        <v>313</v>
      </c>
      <c r="H167" s="15">
        <v>306</v>
      </c>
      <c r="I167" s="15">
        <v>11836</v>
      </c>
      <c r="J167" s="90">
        <v>11596</v>
      </c>
      <c r="K167" s="90">
        <v>104</v>
      </c>
      <c r="L167" s="90" t="s">
        <v>88</v>
      </c>
      <c r="M167" s="90" t="s">
        <v>137</v>
      </c>
      <c r="N167" s="90" t="s">
        <v>666</v>
      </c>
      <c r="O167" s="91">
        <f>(SUM(Table1[[#This Row],[Likes]],Table1[[#This Row],[Shares]],Table1[[#This Row],[Comments]])/Table1[[#This Row],[Impressions]] )</f>
        <v>0.14320716458262928</v>
      </c>
      <c r="P167" s="90" t="s">
        <v>137</v>
      </c>
      <c r="Q167" s="90">
        <f t="shared" si="2"/>
        <v>723</v>
      </c>
    </row>
    <row r="168" spans="1:17" ht="14.25" customHeight="1" x14ac:dyDescent="0.3">
      <c r="A168" s="15" t="s">
        <v>413</v>
      </c>
      <c r="B168" s="15" t="s">
        <v>2</v>
      </c>
      <c r="C168" s="48" t="s">
        <v>364</v>
      </c>
      <c r="D168" s="15" t="s">
        <v>85</v>
      </c>
      <c r="E168" s="15" t="s">
        <v>86</v>
      </c>
      <c r="F168" s="15">
        <v>4771</v>
      </c>
      <c r="G168" s="15">
        <v>818</v>
      </c>
      <c r="H168" s="15">
        <v>56</v>
      </c>
      <c r="I168" s="15">
        <v>57252</v>
      </c>
      <c r="J168" s="90">
        <v>56378</v>
      </c>
      <c r="K168" s="90">
        <v>150</v>
      </c>
      <c r="L168" s="90" t="s">
        <v>88</v>
      </c>
      <c r="M168" s="90" t="s">
        <v>81</v>
      </c>
      <c r="N168" s="90" t="s">
        <v>666</v>
      </c>
      <c r="O168" s="91">
        <f>(SUM(Table1[[#This Row],[Likes]],Table1[[#This Row],[Shares]],Table1[[#This Row],[Comments]])/Table1[[#This Row],[Impressions]] )</f>
        <v>9.859917557465242E-2</v>
      </c>
      <c r="P168" s="90" t="s">
        <v>81</v>
      </c>
      <c r="Q168" s="90">
        <f t="shared" si="2"/>
        <v>1024</v>
      </c>
    </row>
    <row r="169" spans="1:17" ht="14.25" customHeight="1" x14ac:dyDescent="0.3">
      <c r="A169" s="15" t="s">
        <v>414</v>
      </c>
      <c r="B169" s="15" t="s">
        <v>1</v>
      </c>
      <c r="C169" s="48" t="s">
        <v>415</v>
      </c>
      <c r="D169" s="15" t="s">
        <v>85</v>
      </c>
      <c r="E169" s="15" t="s">
        <v>86</v>
      </c>
      <c r="F169" s="15">
        <v>2418</v>
      </c>
      <c r="G169" s="15">
        <v>754</v>
      </c>
      <c r="H169" s="15">
        <v>54</v>
      </c>
      <c r="I169" s="15">
        <v>43524</v>
      </c>
      <c r="J169" s="90">
        <v>42743</v>
      </c>
      <c r="K169" s="90">
        <v>182</v>
      </c>
      <c r="L169" s="90" t="s">
        <v>115</v>
      </c>
      <c r="M169" s="90" t="s">
        <v>87</v>
      </c>
      <c r="N169" s="90" t="s">
        <v>104</v>
      </c>
      <c r="O169" s="91">
        <f>(SUM(Table1[[#This Row],[Likes]],Table1[[#This Row],[Shares]],Table1[[#This Row],[Comments]])/Table1[[#This Row],[Impressions]] )</f>
        <v>7.412002573292896E-2</v>
      </c>
      <c r="P169" s="90" t="s">
        <v>345</v>
      </c>
      <c r="Q169" s="90">
        <f t="shared" si="2"/>
        <v>990</v>
      </c>
    </row>
    <row r="170" spans="1:17" ht="14.25" customHeight="1" x14ac:dyDescent="0.3">
      <c r="A170" s="15" t="s">
        <v>416</v>
      </c>
      <c r="B170" s="15" t="s">
        <v>4</v>
      </c>
      <c r="C170" s="48" t="s">
        <v>417</v>
      </c>
      <c r="D170" s="15" t="s">
        <v>129</v>
      </c>
      <c r="E170" s="15" t="s">
        <v>130</v>
      </c>
      <c r="F170" s="15">
        <v>3809</v>
      </c>
      <c r="G170" s="15">
        <v>273</v>
      </c>
      <c r="H170" s="15">
        <v>200</v>
      </c>
      <c r="I170" s="15">
        <v>34281</v>
      </c>
      <c r="J170" s="90">
        <v>33534</v>
      </c>
      <c r="K170" s="90">
        <v>83</v>
      </c>
      <c r="L170" s="90" t="s">
        <v>99</v>
      </c>
      <c r="M170" s="90" t="s">
        <v>104</v>
      </c>
      <c r="N170" s="90" t="s">
        <v>666</v>
      </c>
      <c r="O170" s="91">
        <f>(SUM(Table1[[#This Row],[Likes]],Table1[[#This Row],[Shares]],Table1[[#This Row],[Comments]])/Table1[[#This Row],[Impressions]] )</f>
        <v>0.12490884163239112</v>
      </c>
      <c r="P170" s="90" t="s">
        <v>104</v>
      </c>
      <c r="Q170" s="90">
        <f t="shared" si="2"/>
        <v>556</v>
      </c>
    </row>
    <row r="171" spans="1:17" ht="14.25" customHeight="1" x14ac:dyDescent="0.3">
      <c r="A171" s="15" t="s">
        <v>418</v>
      </c>
      <c r="B171" s="15" t="s">
        <v>3</v>
      </c>
      <c r="C171" s="48" t="s">
        <v>419</v>
      </c>
      <c r="D171" s="15" t="s">
        <v>85</v>
      </c>
      <c r="E171" s="15" t="s">
        <v>86</v>
      </c>
      <c r="F171" s="15">
        <v>3577</v>
      </c>
      <c r="G171" s="15">
        <v>596</v>
      </c>
      <c r="H171" s="15">
        <v>493</v>
      </c>
      <c r="I171" s="15">
        <v>67963</v>
      </c>
      <c r="J171" s="90">
        <v>67839</v>
      </c>
      <c r="K171" s="90">
        <v>53</v>
      </c>
      <c r="L171" s="90" t="s">
        <v>115</v>
      </c>
      <c r="M171" s="90" t="s">
        <v>118</v>
      </c>
      <c r="N171" s="90" t="s">
        <v>104</v>
      </c>
      <c r="O171" s="91">
        <f>(SUM(Table1[[#This Row],[Likes]],Table1[[#This Row],[Shares]],Table1[[#This Row],[Comments]])/Table1[[#This Row],[Impressions]] )</f>
        <v>6.8655003457763777E-2</v>
      </c>
      <c r="P171" s="90" t="s">
        <v>147</v>
      </c>
      <c r="Q171" s="90">
        <f t="shared" si="2"/>
        <v>1142</v>
      </c>
    </row>
    <row r="172" spans="1:17" ht="14.25" customHeight="1" x14ac:dyDescent="0.3">
      <c r="A172" s="15" t="s">
        <v>420</v>
      </c>
      <c r="B172" s="15" t="s">
        <v>4</v>
      </c>
      <c r="C172" s="48" t="s">
        <v>421</v>
      </c>
      <c r="D172" s="15" t="s">
        <v>129</v>
      </c>
      <c r="E172" s="15" t="s">
        <v>130</v>
      </c>
      <c r="F172" s="15">
        <v>1018</v>
      </c>
      <c r="G172" s="15">
        <v>447</v>
      </c>
      <c r="H172" s="15">
        <v>332</v>
      </c>
      <c r="I172" s="15">
        <v>18324</v>
      </c>
      <c r="J172" s="90">
        <v>18164</v>
      </c>
      <c r="K172" s="90">
        <v>38</v>
      </c>
      <c r="L172" s="90" t="s">
        <v>115</v>
      </c>
      <c r="M172" s="90" t="s">
        <v>81</v>
      </c>
      <c r="N172" s="90" t="s">
        <v>87</v>
      </c>
      <c r="O172" s="91">
        <f>(SUM(Table1[[#This Row],[Likes]],Table1[[#This Row],[Shares]],Table1[[#This Row],[Comments]])/Table1[[#This Row],[Impressions]] )</f>
        <v>9.8068107400130972E-2</v>
      </c>
      <c r="P172" s="90" t="s">
        <v>126</v>
      </c>
      <c r="Q172" s="90">
        <f t="shared" si="2"/>
        <v>817</v>
      </c>
    </row>
    <row r="173" spans="1:17" ht="14.25" customHeight="1" x14ac:dyDescent="0.3">
      <c r="A173" s="15" t="s">
        <v>422</v>
      </c>
      <c r="B173" s="15" t="s">
        <v>1</v>
      </c>
      <c r="C173" s="48" t="s">
        <v>423</v>
      </c>
      <c r="D173" s="15" t="s">
        <v>102</v>
      </c>
      <c r="E173" s="15" t="s">
        <v>103</v>
      </c>
      <c r="F173" s="15">
        <v>3073</v>
      </c>
      <c r="G173" s="15">
        <v>553</v>
      </c>
      <c r="H173" s="15">
        <v>174</v>
      </c>
      <c r="I173" s="15">
        <v>52241</v>
      </c>
      <c r="J173" s="90">
        <v>51605</v>
      </c>
      <c r="K173" s="90">
        <v>246</v>
      </c>
      <c r="L173" s="90" t="s">
        <v>115</v>
      </c>
      <c r="M173" s="90" t="s">
        <v>87</v>
      </c>
      <c r="N173" s="90" t="s">
        <v>118</v>
      </c>
      <c r="O173" s="91">
        <f>(SUM(Table1[[#This Row],[Likes]],Table1[[#This Row],[Shares]],Table1[[#This Row],[Comments]])/Table1[[#This Row],[Impressions]] )</f>
        <v>7.2739802071170159E-2</v>
      </c>
      <c r="P173" s="90" t="s">
        <v>206</v>
      </c>
      <c r="Q173" s="90">
        <f t="shared" si="2"/>
        <v>973</v>
      </c>
    </row>
    <row r="174" spans="1:17" ht="14.25" customHeight="1" x14ac:dyDescent="0.3">
      <c r="A174" s="15" t="s">
        <v>424</v>
      </c>
      <c r="B174" s="15" t="s">
        <v>3</v>
      </c>
      <c r="C174" s="48" t="s">
        <v>425</v>
      </c>
      <c r="D174" s="15" t="s">
        <v>129</v>
      </c>
      <c r="E174" s="15" t="s">
        <v>130</v>
      </c>
      <c r="F174" s="15">
        <v>1330</v>
      </c>
      <c r="G174" s="15">
        <v>925</v>
      </c>
      <c r="H174" s="15">
        <v>35</v>
      </c>
      <c r="I174" s="15">
        <v>15960</v>
      </c>
      <c r="J174" s="90">
        <v>15379</v>
      </c>
      <c r="K174" s="90">
        <v>229</v>
      </c>
      <c r="L174" s="90" t="s">
        <v>115</v>
      </c>
      <c r="M174" s="90" t="s">
        <v>137</v>
      </c>
      <c r="N174" s="90" t="s">
        <v>104</v>
      </c>
      <c r="O174" s="91">
        <f>(SUM(Table1[[#This Row],[Likes]],Table1[[#This Row],[Shares]],Table1[[#This Row],[Comments]])/Table1[[#This Row],[Impressions]] )</f>
        <v>0.14348370927318296</v>
      </c>
      <c r="P174" s="90" t="s">
        <v>238</v>
      </c>
      <c r="Q174" s="90">
        <f t="shared" si="2"/>
        <v>1189</v>
      </c>
    </row>
    <row r="175" spans="1:17" ht="14.25" customHeight="1" x14ac:dyDescent="0.3">
      <c r="A175" s="15" t="s">
        <v>426</v>
      </c>
      <c r="B175" s="15" t="s">
        <v>1</v>
      </c>
      <c r="C175" s="48" t="s">
        <v>228</v>
      </c>
      <c r="D175" s="15" t="s">
        <v>85</v>
      </c>
      <c r="E175" s="15" t="s">
        <v>86</v>
      </c>
      <c r="F175" s="15">
        <v>3828</v>
      </c>
      <c r="G175" s="15">
        <v>148</v>
      </c>
      <c r="H175" s="15">
        <v>253</v>
      </c>
      <c r="I175" s="15">
        <v>30624</v>
      </c>
      <c r="J175" s="90">
        <v>30229</v>
      </c>
      <c r="K175" s="90">
        <v>235</v>
      </c>
      <c r="L175" s="90" t="s">
        <v>115</v>
      </c>
      <c r="M175" s="90" t="s">
        <v>81</v>
      </c>
      <c r="N175" s="90" t="s">
        <v>118</v>
      </c>
      <c r="O175" s="91">
        <f>(SUM(Table1[[#This Row],[Likes]],Table1[[#This Row],[Shares]],Table1[[#This Row],[Comments]])/Table1[[#This Row],[Impressions]] )</f>
        <v>0.13809430512016718</v>
      </c>
      <c r="P175" s="90" t="s">
        <v>142</v>
      </c>
      <c r="Q175" s="90">
        <f t="shared" si="2"/>
        <v>636</v>
      </c>
    </row>
    <row r="176" spans="1:17" ht="14.25" customHeight="1" x14ac:dyDescent="0.3">
      <c r="A176" s="15" t="s">
        <v>427</v>
      </c>
      <c r="B176" s="15" t="s">
        <v>2</v>
      </c>
      <c r="C176" s="48" t="s">
        <v>428</v>
      </c>
      <c r="D176" s="15" t="s">
        <v>79</v>
      </c>
      <c r="E176" s="15" t="s">
        <v>80</v>
      </c>
      <c r="F176" s="15">
        <v>142</v>
      </c>
      <c r="G176" s="15">
        <v>784</v>
      </c>
      <c r="H176" s="15">
        <v>183</v>
      </c>
      <c r="I176" s="15">
        <v>1704</v>
      </c>
      <c r="J176" s="90">
        <v>995</v>
      </c>
      <c r="K176" s="90">
        <v>154</v>
      </c>
      <c r="L176" s="90" t="s">
        <v>82</v>
      </c>
      <c r="M176" s="90" t="s">
        <v>81</v>
      </c>
      <c r="N176" s="90" t="s">
        <v>666</v>
      </c>
      <c r="O176" s="91">
        <f>(SUM(Table1[[#This Row],[Likes]],Table1[[#This Row],[Shares]],Table1[[#This Row],[Comments]])/Table1[[#This Row],[Impressions]] )</f>
        <v>0.6508215962441315</v>
      </c>
      <c r="P176" s="90" t="s">
        <v>81</v>
      </c>
      <c r="Q176" s="90">
        <f t="shared" si="2"/>
        <v>1121</v>
      </c>
    </row>
    <row r="177" spans="1:17" ht="14.25" customHeight="1" x14ac:dyDescent="0.3">
      <c r="A177" s="15" t="s">
        <v>429</v>
      </c>
      <c r="B177" s="15" t="s">
        <v>1</v>
      </c>
      <c r="C177" s="48" t="s">
        <v>430</v>
      </c>
      <c r="D177" s="15" t="s">
        <v>129</v>
      </c>
      <c r="E177" s="15" t="s">
        <v>130</v>
      </c>
      <c r="F177" s="15">
        <v>3798</v>
      </c>
      <c r="G177" s="15">
        <v>31</v>
      </c>
      <c r="H177" s="15">
        <v>279</v>
      </c>
      <c r="I177" s="15">
        <v>75960</v>
      </c>
      <c r="J177" s="90">
        <v>75813</v>
      </c>
      <c r="K177" s="90">
        <v>266</v>
      </c>
      <c r="L177" s="90" t="s">
        <v>88</v>
      </c>
      <c r="M177" s="90" t="s">
        <v>87</v>
      </c>
      <c r="N177" s="90" t="s">
        <v>666</v>
      </c>
      <c r="O177" s="91">
        <f>(SUM(Table1[[#This Row],[Likes]],Table1[[#This Row],[Shares]],Table1[[#This Row],[Comments]])/Table1[[#This Row],[Impressions]] )</f>
        <v>5.4081095313322801E-2</v>
      </c>
      <c r="P177" s="90" t="s">
        <v>87</v>
      </c>
      <c r="Q177" s="90">
        <f t="shared" si="2"/>
        <v>576</v>
      </c>
    </row>
    <row r="178" spans="1:17" ht="14.25" customHeight="1" x14ac:dyDescent="0.3">
      <c r="A178" s="15" t="s">
        <v>431</v>
      </c>
      <c r="B178" s="15" t="s">
        <v>2</v>
      </c>
      <c r="C178" s="48" t="s">
        <v>432</v>
      </c>
      <c r="D178" s="15" t="s">
        <v>102</v>
      </c>
      <c r="E178" s="15" t="s">
        <v>103</v>
      </c>
      <c r="F178" s="15">
        <v>3099</v>
      </c>
      <c r="G178" s="15">
        <v>694</v>
      </c>
      <c r="H178" s="15">
        <v>171</v>
      </c>
      <c r="I178" s="15">
        <v>43386</v>
      </c>
      <c r="J178" s="90">
        <v>42921</v>
      </c>
      <c r="K178" s="90">
        <v>52</v>
      </c>
      <c r="L178" s="90" t="s">
        <v>115</v>
      </c>
      <c r="M178" s="90" t="s">
        <v>137</v>
      </c>
      <c r="N178" s="90" t="s">
        <v>666</v>
      </c>
      <c r="O178" s="91">
        <f>(SUM(Table1[[#This Row],[Likes]],Table1[[#This Row],[Shares]],Table1[[#This Row],[Comments]])/Table1[[#This Row],[Impressions]] )</f>
        <v>9.1365878393951966E-2</v>
      </c>
      <c r="P178" s="90" t="s">
        <v>137</v>
      </c>
      <c r="Q178" s="90">
        <f t="shared" si="2"/>
        <v>917</v>
      </c>
    </row>
    <row r="179" spans="1:17" ht="14.25" customHeight="1" x14ac:dyDescent="0.3">
      <c r="A179" s="15" t="s">
        <v>433</v>
      </c>
      <c r="B179" s="15" t="s">
        <v>2</v>
      </c>
      <c r="C179" s="48" t="s">
        <v>261</v>
      </c>
      <c r="D179" s="15" t="s">
        <v>129</v>
      </c>
      <c r="E179" s="15" t="s">
        <v>130</v>
      </c>
      <c r="F179" s="15">
        <v>129</v>
      </c>
      <c r="G179" s="15">
        <v>643</v>
      </c>
      <c r="H179" s="15">
        <v>136</v>
      </c>
      <c r="I179" s="15">
        <v>1290</v>
      </c>
      <c r="J179" s="90">
        <v>839</v>
      </c>
      <c r="K179" s="90">
        <v>238</v>
      </c>
      <c r="L179" s="90" t="s">
        <v>115</v>
      </c>
      <c r="M179" s="90" t="s">
        <v>118</v>
      </c>
      <c r="N179" s="90" t="s">
        <v>137</v>
      </c>
      <c r="O179" s="91">
        <f>(SUM(Table1[[#This Row],[Likes]],Table1[[#This Row],[Shares]],Table1[[#This Row],[Comments]])/Table1[[#This Row],[Impressions]] )</f>
        <v>0.70387596899224802</v>
      </c>
      <c r="P179" s="90" t="s">
        <v>222</v>
      </c>
      <c r="Q179" s="90">
        <f t="shared" si="2"/>
        <v>1017</v>
      </c>
    </row>
    <row r="180" spans="1:17" ht="14.25" customHeight="1" x14ac:dyDescent="0.3">
      <c r="A180" s="15" t="s">
        <v>434</v>
      </c>
      <c r="B180" s="15" t="s">
        <v>1</v>
      </c>
      <c r="C180" s="48" t="s">
        <v>372</v>
      </c>
      <c r="D180" s="15" t="s">
        <v>102</v>
      </c>
      <c r="E180" s="15" t="s">
        <v>103</v>
      </c>
      <c r="F180" s="15">
        <v>3796</v>
      </c>
      <c r="G180" s="15">
        <v>667</v>
      </c>
      <c r="H180" s="15">
        <v>395</v>
      </c>
      <c r="I180" s="15">
        <v>64532</v>
      </c>
      <c r="J180" s="90">
        <v>63550</v>
      </c>
      <c r="K180" s="90">
        <v>292</v>
      </c>
      <c r="L180" s="90" t="s">
        <v>82</v>
      </c>
      <c r="M180" s="90" t="s">
        <v>118</v>
      </c>
      <c r="N180" s="90" t="s">
        <v>666</v>
      </c>
      <c r="O180" s="91">
        <f>(SUM(Table1[[#This Row],[Likes]],Table1[[#This Row],[Shares]],Table1[[#This Row],[Comments]])/Table1[[#This Row],[Impressions]] )</f>
        <v>7.5280481001673588E-2</v>
      </c>
      <c r="P180" s="90" t="s">
        <v>118</v>
      </c>
      <c r="Q180" s="90">
        <f t="shared" si="2"/>
        <v>1354</v>
      </c>
    </row>
    <row r="181" spans="1:17" ht="14.25" customHeight="1" x14ac:dyDescent="0.3">
      <c r="A181" s="15" t="s">
        <v>435</v>
      </c>
      <c r="B181" s="15" t="s">
        <v>4</v>
      </c>
      <c r="C181" s="48" t="s">
        <v>417</v>
      </c>
      <c r="D181" s="15" t="s">
        <v>85</v>
      </c>
      <c r="E181" s="15" t="s">
        <v>86</v>
      </c>
      <c r="F181" s="15">
        <v>3711</v>
      </c>
      <c r="G181" s="15">
        <v>352</v>
      </c>
      <c r="H181" s="15">
        <v>290</v>
      </c>
      <c r="I181" s="15">
        <v>48243</v>
      </c>
      <c r="J181" s="90">
        <v>47579</v>
      </c>
      <c r="K181" s="90">
        <v>11</v>
      </c>
      <c r="L181" s="90" t="s">
        <v>115</v>
      </c>
      <c r="M181" s="90" t="s">
        <v>118</v>
      </c>
      <c r="N181" s="90" t="s">
        <v>137</v>
      </c>
      <c r="O181" s="91">
        <f>(SUM(Table1[[#This Row],[Likes]],Table1[[#This Row],[Shares]],Table1[[#This Row],[Comments]])/Table1[[#This Row],[Impressions]] )</f>
        <v>9.023070704558174E-2</v>
      </c>
      <c r="P181" s="90" t="s">
        <v>222</v>
      </c>
      <c r="Q181" s="90">
        <f t="shared" si="2"/>
        <v>653</v>
      </c>
    </row>
    <row r="182" spans="1:17" ht="14.25" customHeight="1" x14ac:dyDescent="0.3">
      <c r="A182" s="15" t="s">
        <v>436</v>
      </c>
      <c r="B182" s="15" t="s">
        <v>4</v>
      </c>
      <c r="C182" s="48" t="s">
        <v>437</v>
      </c>
      <c r="D182" s="15" t="s">
        <v>109</v>
      </c>
      <c r="E182" s="15" t="s">
        <v>110</v>
      </c>
      <c r="F182" s="15">
        <v>606</v>
      </c>
      <c r="G182" s="15">
        <v>789</v>
      </c>
      <c r="H182" s="15">
        <v>470</v>
      </c>
      <c r="I182" s="15">
        <v>7878</v>
      </c>
      <c r="J182" s="90">
        <v>7389</v>
      </c>
      <c r="K182" s="90">
        <v>239</v>
      </c>
      <c r="L182" s="90" t="s">
        <v>88</v>
      </c>
      <c r="M182" s="90" t="s">
        <v>81</v>
      </c>
      <c r="N182" s="90" t="s">
        <v>666</v>
      </c>
      <c r="O182" s="91">
        <f>(SUM(Table1[[#This Row],[Likes]],Table1[[#This Row],[Shares]],Table1[[#This Row],[Comments]])/Table1[[#This Row],[Impressions]] )</f>
        <v>0.23673521198273673</v>
      </c>
      <c r="P182" s="90" t="s">
        <v>81</v>
      </c>
      <c r="Q182" s="90">
        <f t="shared" si="2"/>
        <v>1498</v>
      </c>
    </row>
    <row r="183" spans="1:17" ht="14.25" customHeight="1" x14ac:dyDescent="0.3">
      <c r="A183" s="15" t="s">
        <v>438</v>
      </c>
      <c r="B183" s="15" t="s">
        <v>1</v>
      </c>
      <c r="C183" s="48" t="s">
        <v>171</v>
      </c>
      <c r="D183" s="15" t="s">
        <v>109</v>
      </c>
      <c r="E183" s="15" t="s">
        <v>110</v>
      </c>
      <c r="F183" s="15">
        <v>4689</v>
      </c>
      <c r="G183" s="15">
        <v>134</v>
      </c>
      <c r="H183" s="15">
        <v>403</v>
      </c>
      <c r="I183" s="15">
        <v>51579</v>
      </c>
      <c r="J183" s="90">
        <v>50924</v>
      </c>
      <c r="K183" s="90">
        <v>173</v>
      </c>
      <c r="L183" s="90" t="s">
        <v>82</v>
      </c>
      <c r="M183" s="90" t="s">
        <v>137</v>
      </c>
      <c r="N183" s="90" t="s">
        <v>666</v>
      </c>
      <c r="O183" s="91">
        <f>(SUM(Table1[[#This Row],[Likes]],Table1[[#This Row],[Shares]],Table1[[#This Row],[Comments]])/Table1[[#This Row],[Impressions]] )</f>
        <v>0.10132030477519921</v>
      </c>
      <c r="P183" s="90" t="s">
        <v>137</v>
      </c>
      <c r="Q183" s="90">
        <f t="shared" si="2"/>
        <v>710</v>
      </c>
    </row>
    <row r="184" spans="1:17" ht="14.25" customHeight="1" x14ac:dyDescent="0.3">
      <c r="A184" s="15" t="s">
        <v>439</v>
      </c>
      <c r="B184" s="15" t="s">
        <v>2</v>
      </c>
      <c r="C184" s="48" t="s">
        <v>440</v>
      </c>
      <c r="D184" s="15" t="s">
        <v>94</v>
      </c>
      <c r="E184" s="15" t="s">
        <v>95</v>
      </c>
      <c r="F184" s="15">
        <v>360</v>
      </c>
      <c r="G184" s="15">
        <v>590</v>
      </c>
      <c r="H184" s="15">
        <v>393</v>
      </c>
      <c r="I184" s="15">
        <v>4680</v>
      </c>
      <c r="J184" s="90">
        <v>4322</v>
      </c>
      <c r="K184" s="90">
        <v>208</v>
      </c>
      <c r="L184" s="90" t="s">
        <v>88</v>
      </c>
      <c r="M184" s="90" t="s">
        <v>118</v>
      </c>
      <c r="N184" s="90" t="s">
        <v>137</v>
      </c>
      <c r="O184" s="91">
        <f>(SUM(Table1[[#This Row],[Likes]],Table1[[#This Row],[Shares]],Table1[[#This Row],[Comments]])/Table1[[#This Row],[Impressions]] )</f>
        <v>0.28696581196581195</v>
      </c>
      <c r="P184" s="90" t="s">
        <v>222</v>
      </c>
      <c r="Q184" s="90">
        <f t="shared" si="2"/>
        <v>1191</v>
      </c>
    </row>
    <row r="185" spans="1:17" ht="14.25" customHeight="1" x14ac:dyDescent="0.3">
      <c r="A185" s="15" t="s">
        <v>441</v>
      </c>
      <c r="B185" s="15" t="s">
        <v>3</v>
      </c>
      <c r="C185" s="48" t="s">
        <v>442</v>
      </c>
      <c r="D185" s="15" t="s">
        <v>109</v>
      </c>
      <c r="E185" s="15" t="s">
        <v>110</v>
      </c>
      <c r="F185" s="15">
        <v>3215</v>
      </c>
      <c r="G185" s="15">
        <v>960</v>
      </c>
      <c r="H185" s="15">
        <v>202</v>
      </c>
      <c r="I185" s="15">
        <v>32150</v>
      </c>
      <c r="J185" s="90">
        <v>31404</v>
      </c>
      <c r="K185" s="90">
        <v>251</v>
      </c>
      <c r="L185" s="90" t="s">
        <v>99</v>
      </c>
      <c r="M185" s="90" t="s">
        <v>118</v>
      </c>
      <c r="N185" s="90" t="s">
        <v>666</v>
      </c>
      <c r="O185" s="91">
        <f>(SUM(Table1[[#This Row],[Likes]],Table1[[#This Row],[Shares]],Table1[[#This Row],[Comments]])/Table1[[#This Row],[Impressions]] )</f>
        <v>0.13614307931570763</v>
      </c>
      <c r="P185" s="90" t="s">
        <v>118</v>
      </c>
      <c r="Q185" s="90">
        <f t="shared" si="2"/>
        <v>1413</v>
      </c>
    </row>
    <row r="186" spans="1:17" ht="14.25" customHeight="1" x14ac:dyDescent="0.3">
      <c r="A186" s="15" t="s">
        <v>443</v>
      </c>
      <c r="B186" s="15" t="s">
        <v>2</v>
      </c>
      <c r="C186" s="48" t="s">
        <v>444</v>
      </c>
      <c r="D186" s="15" t="s">
        <v>102</v>
      </c>
      <c r="E186" s="15" t="s">
        <v>103</v>
      </c>
      <c r="F186" s="15">
        <v>4523</v>
      </c>
      <c r="G186" s="15">
        <v>61</v>
      </c>
      <c r="H186" s="15">
        <v>157</v>
      </c>
      <c r="I186" s="15">
        <v>49753</v>
      </c>
      <c r="J186" s="90">
        <v>49329</v>
      </c>
      <c r="K186" s="90">
        <v>71</v>
      </c>
      <c r="L186" s="90" t="s">
        <v>115</v>
      </c>
      <c r="M186" s="90" t="s">
        <v>81</v>
      </c>
      <c r="N186" s="90" t="s">
        <v>104</v>
      </c>
      <c r="O186" s="91">
        <f>(SUM(Table1[[#This Row],[Likes]],Table1[[#This Row],[Shares]],Table1[[#This Row],[Comments]])/Table1[[#This Row],[Impressions]] )</f>
        <v>9.5290736237010829E-2</v>
      </c>
      <c r="P186" s="90" t="s">
        <v>162</v>
      </c>
      <c r="Q186" s="90">
        <f t="shared" si="2"/>
        <v>289</v>
      </c>
    </row>
    <row r="187" spans="1:17" ht="14.25" customHeight="1" x14ac:dyDescent="0.3">
      <c r="A187" s="15" t="s">
        <v>445</v>
      </c>
      <c r="B187" s="15" t="s">
        <v>1</v>
      </c>
      <c r="C187" s="48" t="s">
        <v>403</v>
      </c>
      <c r="D187" s="15" t="s">
        <v>102</v>
      </c>
      <c r="E187" s="15" t="s">
        <v>103</v>
      </c>
      <c r="F187" s="15">
        <v>4292</v>
      </c>
      <c r="G187" s="15">
        <v>51</v>
      </c>
      <c r="H187" s="15">
        <v>392</v>
      </c>
      <c r="I187" s="15">
        <v>55796</v>
      </c>
      <c r="J187" s="90">
        <v>54826</v>
      </c>
      <c r="K187" s="90">
        <v>264</v>
      </c>
      <c r="L187" s="90" t="s">
        <v>82</v>
      </c>
      <c r="M187" s="90" t="s">
        <v>104</v>
      </c>
      <c r="N187" s="90" t="s">
        <v>118</v>
      </c>
      <c r="O187" s="91">
        <f>(SUM(Table1[[#This Row],[Likes]],Table1[[#This Row],[Shares]],Table1[[#This Row],[Comments]])/Table1[[#This Row],[Impressions]] )</f>
        <v>8.4862714173059003E-2</v>
      </c>
      <c r="P187" s="90" t="s">
        <v>274</v>
      </c>
      <c r="Q187" s="90">
        <f t="shared" si="2"/>
        <v>707</v>
      </c>
    </row>
    <row r="188" spans="1:17" ht="14.25" customHeight="1" x14ac:dyDescent="0.3">
      <c r="A188" s="15" t="s">
        <v>446</v>
      </c>
      <c r="B188" s="15" t="s">
        <v>3</v>
      </c>
      <c r="C188" s="48" t="s">
        <v>447</v>
      </c>
      <c r="D188" s="15" t="s">
        <v>79</v>
      </c>
      <c r="E188" s="15" t="s">
        <v>80</v>
      </c>
      <c r="F188" s="15">
        <v>1644</v>
      </c>
      <c r="G188" s="15">
        <v>546</v>
      </c>
      <c r="H188" s="15">
        <v>150</v>
      </c>
      <c r="I188" s="15">
        <v>27948</v>
      </c>
      <c r="J188" s="90">
        <v>27184</v>
      </c>
      <c r="K188" s="90">
        <v>300</v>
      </c>
      <c r="L188" s="90" t="s">
        <v>82</v>
      </c>
      <c r="M188" s="90" t="s">
        <v>81</v>
      </c>
      <c r="N188" s="90" t="s">
        <v>104</v>
      </c>
      <c r="O188" s="91">
        <f>(SUM(Table1[[#This Row],[Likes]],Table1[[#This Row],[Shares]],Table1[[#This Row],[Comments]])/Table1[[#This Row],[Impressions]] )</f>
        <v>8.3726921425504502E-2</v>
      </c>
      <c r="P188" s="90" t="s">
        <v>162</v>
      </c>
      <c r="Q188" s="90">
        <f t="shared" si="2"/>
        <v>996</v>
      </c>
    </row>
    <row r="189" spans="1:17" ht="14.25" customHeight="1" x14ac:dyDescent="0.3">
      <c r="A189" s="15" t="s">
        <v>448</v>
      </c>
      <c r="B189" s="15" t="s">
        <v>4</v>
      </c>
      <c r="C189" s="48" t="s">
        <v>281</v>
      </c>
      <c r="D189" s="15" t="s">
        <v>79</v>
      </c>
      <c r="E189" s="15" t="s">
        <v>80</v>
      </c>
      <c r="F189" s="15">
        <v>2728</v>
      </c>
      <c r="G189" s="15">
        <v>533</v>
      </c>
      <c r="H189" s="15">
        <v>215</v>
      </c>
      <c r="I189" s="15">
        <v>40920</v>
      </c>
      <c r="J189" s="90">
        <v>40816</v>
      </c>
      <c r="K189" s="90">
        <v>137</v>
      </c>
      <c r="L189" s="90" t="s">
        <v>88</v>
      </c>
      <c r="M189" s="90" t="s">
        <v>81</v>
      </c>
      <c r="N189" s="90" t="s">
        <v>666</v>
      </c>
      <c r="O189" s="91">
        <f>(SUM(Table1[[#This Row],[Likes]],Table1[[#This Row],[Shares]],Table1[[#This Row],[Comments]])/Table1[[#This Row],[Impressions]] )</f>
        <v>8.4946236559139784E-2</v>
      </c>
      <c r="P189" s="90" t="s">
        <v>81</v>
      </c>
      <c r="Q189" s="90">
        <f t="shared" si="2"/>
        <v>885</v>
      </c>
    </row>
    <row r="190" spans="1:17" ht="14.25" customHeight="1" x14ac:dyDescent="0.3">
      <c r="A190" s="15" t="s">
        <v>449</v>
      </c>
      <c r="B190" s="15" t="s">
        <v>1</v>
      </c>
      <c r="C190" s="48" t="s">
        <v>289</v>
      </c>
      <c r="D190" s="15" t="s">
        <v>79</v>
      </c>
      <c r="E190" s="15" t="s">
        <v>80</v>
      </c>
      <c r="F190" s="15">
        <v>3360</v>
      </c>
      <c r="G190" s="15">
        <v>525</v>
      </c>
      <c r="H190" s="15">
        <v>500</v>
      </c>
      <c r="I190" s="15">
        <v>60480</v>
      </c>
      <c r="J190" s="90">
        <v>59610</v>
      </c>
      <c r="K190" s="90">
        <v>192</v>
      </c>
      <c r="L190" s="90" t="s">
        <v>82</v>
      </c>
      <c r="M190" s="90" t="s">
        <v>81</v>
      </c>
      <c r="N190" s="90" t="s">
        <v>118</v>
      </c>
      <c r="O190" s="91">
        <f>(SUM(Table1[[#This Row],[Likes]],Table1[[#This Row],[Shares]],Table1[[#This Row],[Comments]])/Table1[[#This Row],[Impressions]] )</f>
        <v>7.2503306878306875E-2</v>
      </c>
      <c r="P190" s="90" t="s">
        <v>142</v>
      </c>
      <c r="Q190" s="90">
        <f t="shared" si="2"/>
        <v>1217</v>
      </c>
    </row>
    <row r="191" spans="1:17" ht="14.25" customHeight="1" x14ac:dyDescent="0.3">
      <c r="A191" s="15" t="s">
        <v>450</v>
      </c>
      <c r="B191" s="15" t="s">
        <v>4</v>
      </c>
      <c r="C191" s="48" t="s">
        <v>451</v>
      </c>
      <c r="D191" s="15" t="s">
        <v>85</v>
      </c>
      <c r="E191" s="15" t="s">
        <v>86</v>
      </c>
      <c r="F191" s="15">
        <v>1963</v>
      </c>
      <c r="G191" s="15">
        <v>213</v>
      </c>
      <c r="H191" s="15">
        <v>19</v>
      </c>
      <c r="I191" s="15">
        <v>39260</v>
      </c>
      <c r="J191" s="90">
        <v>38771</v>
      </c>
      <c r="K191" s="90">
        <v>145</v>
      </c>
      <c r="L191" s="90" t="s">
        <v>82</v>
      </c>
      <c r="M191" s="90" t="s">
        <v>118</v>
      </c>
      <c r="N191" s="90" t="s">
        <v>666</v>
      </c>
      <c r="O191" s="91">
        <f>(SUM(Table1[[#This Row],[Likes]],Table1[[#This Row],[Shares]],Table1[[#This Row],[Comments]])/Table1[[#This Row],[Impressions]] )</f>
        <v>5.5909322465613857E-2</v>
      </c>
      <c r="P191" s="90" t="s">
        <v>118</v>
      </c>
      <c r="Q191" s="90">
        <f t="shared" si="2"/>
        <v>377</v>
      </c>
    </row>
    <row r="192" spans="1:17" ht="14.25" customHeight="1" x14ac:dyDescent="0.3">
      <c r="A192" s="15" t="s">
        <v>452</v>
      </c>
      <c r="B192" s="15" t="s">
        <v>4</v>
      </c>
      <c r="C192" s="48" t="s">
        <v>417</v>
      </c>
      <c r="D192" s="15" t="s">
        <v>94</v>
      </c>
      <c r="E192" s="15" t="s">
        <v>95</v>
      </c>
      <c r="F192" s="15">
        <v>4285</v>
      </c>
      <c r="G192" s="15">
        <v>886</v>
      </c>
      <c r="H192" s="15">
        <v>376</v>
      </c>
      <c r="I192" s="15">
        <v>55705</v>
      </c>
      <c r="J192" s="90">
        <v>55556</v>
      </c>
      <c r="K192" s="90">
        <v>51</v>
      </c>
      <c r="L192" s="90" t="s">
        <v>115</v>
      </c>
      <c r="M192" s="90" t="s">
        <v>87</v>
      </c>
      <c r="N192" s="90" t="s">
        <v>137</v>
      </c>
      <c r="O192" s="91">
        <f>(SUM(Table1[[#This Row],[Likes]],Table1[[#This Row],[Shares]],Table1[[#This Row],[Comments]])/Table1[[#This Row],[Impressions]] )</f>
        <v>9.9578134817341346E-2</v>
      </c>
      <c r="P192" s="90" t="s">
        <v>131</v>
      </c>
      <c r="Q192" s="90">
        <f t="shared" si="2"/>
        <v>1313</v>
      </c>
    </row>
    <row r="193" spans="1:17" ht="14.25" customHeight="1" x14ac:dyDescent="0.3">
      <c r="A193" s="15" t="s">
        <v>453</v>
      </c>
      <c r="B193" s="15" t="s">
        <v>2</v>
      </c>
      <c r="C193" s="48" t="s">
        <v>454</v>
      </c>
      <c r="D193" s="15" t="s">
        <v>129</v>
      </c>
      <c r="E193" s="15" t="s">
        <v>130</v>
      </c>
      <c r="F193" s="15">
        <v>1176</v>
      </c>
      <c r="G193" s="15">
        <v>464</v>
      </c>
      <c r="H193" s="15">
        <v>394</v>
      </c>
      <c r="I193" s="15">
        <v>14112</v>
      </c>
      <c r="J193" s="90">
        <v>13588</v>
      </c>
      <c r="K193" s="90">
        <v>272</v>
      </c>
      <c r="L193" s="90" t="s">
        <v>82</v>
      </c>
      <c r="M193" s="90" t="s">
        <v>137</v>
      </c>
      <c r="N193" s="90" t="s">
        <v>666</v>
      </c>
      <c r="O193" s="91">
        <f>(SUM(Table1[[#This Row],[Likes]],Table1[[#This Row],[Shares]],Table1[[#This Row],[Comments]])/Table1[[#This Row],[Impressions]] )</f>
        <v>0.1441326530612245</v>
      </c>
      <c r="P193" s="90" t="s">
        <v>137</v>
      </c>
      <c r="Q193" s="90">
        <f t="shared" si="2"/>
        <v>1130</v>
      </c>
    </row>
    <row r="194" spans="1:17" ht="14.25" customHeight="1" x14ac:dyDescent="0.3">
      <c r="A194" s="15" t="s">
        <v>455</v>
      </c>
      <c r="B194" s="15" t="s">
        <v>3</v>
      </c>
      <c r="C194" s="48" t="s">
        <v>456</v>
      </c>
      <c r="D194" s="15" t="s">
        <v>109</v>
      </c>
      <c r="E194" s="15" t="s">
        <v>110</v>
      </c>
      <c r="F194" s="15">
        <v>4858</v>
      </c>
      <c r="G194" s="15">
        <v>317</v>
      </c>
      <c r="H194" s="15">
        <v>129</v>
      </c>
      <c r="I194" s="15">
        <v>53438</v>
      </c>
      <c r="J194" s="90">
        <v>52687</v>
      </c>
      <c r="K194" s="90">
        <v>223</v>
      </c>
      <c r="L194" s="90" t="s">
        <v>82</v>
      </c>
      <c r="M194" s="90" t="s">
        <v>137</v>
      </c>
      <c r="N194" s="90" t="s">
        <v>104</v>
      </c>
      <c r="O194" s="91">
        <f>(SUM(Table1[[#This Row],[Likes]],Table1[[#This Row],[Shares]],Table1[[#This Row],[Comments]])/Table1[[#This Row],[Impressions]] )</f>
        <v>9.9255211647142488E-2</v>
      </c>
      <c r="P194" s="90" t="s">
        <v>238</v>
      </c>
      <c r="Q194" s="90">
        <f t="shared" ref="Q194:Q257" si="3">SUM(G194,H194,K194)</f>
        <v>669</v>
      </c>
    </row>
    <row r="195" spans="1:17" ht="14.25" customHeight="1" x14ac:dyDescent="0.3">
      <c r="A195" s="15" t="s">
        <v>457</v>
      </c>
      <c r="B195" s="15" t="s">
        <v>4</v>
      </c>
      <c r="C195" s="48" t="s">
        <v>330</v>
      </c>
      <c r="D195" s="15" t="s">
        <v>94</v>
      </c>
      <c r="E195" s="15" t="s">
        <v>95</v>
      </c>
      <c r="F195" s="15">
        <v>4350</v>
      </c>
      <c r="G195" s="15">
        <v>771</v>
      </c>
      <c r="H195" s="15">
        <v>7</v>
      </c>
      <c r="I195" s="15">
        <v>60900</v>
      </c>
      <c r="J195" s="90">
        <v>60592</v>
      </c>
      <c r="K195" s="90">
        <v>195</v>
      </c>
      <c r="L195" s="90" t="s">
        <v>88</v>
      </c>
      <c r="M195" s="90" t="s">
        <v>137</v>
      </c>
      <c r="N195" s="90" t="s">
        <v>118</v>
      </c>
      <c r="O195" s="91">
        <f>(SUM(Table1[[#This Row],[Likes]],Table1[[#This Row],[Shares]],Table1[[#This Row],[Comments]])/Table1[[#This Row],[Impressions]] )</f>
        <v>8.4203612479474554E-2</v>
      </c>
      <c r="P195" s="90" t="s">
        <v>324</v>
      </c>
      <c r="Q195" s="90">
        <f t="shared" si="3"/>
        <v>973</v>
      </c>
    </row>
    <row r="196" spans="1:17" ht="14.25" customHeight="1" x14ac:dyDescent="0.3">
      <c r="A196" s="15" t="s">
        <v>458</v>
      </c>
      <c r="B196" s="15" t="s">
        <v>2</v>
      </c>
      <c r="C196" s="48" t="s">
        <v>459</v>
      </c>
      <c r="D196" s="15" t="s">
        <v>102</v>
      </c>
      <c r="E196" s="15" t="s">
        <v>103</v>
      </c>
      <c r="F196" s="15">
        <v>914</v>
      </c>
      <c r="G196" s="15">
        <v>464</v>
      </c>
      <c r="H196" s="15">
        <v>246</v>
      </c>
      <c r="I196" s="15">
        <v>11882</v>
      </c>
      <c r="J196" s="90">
        <v>11500</v>
      </c>
      <c r="K196" s="90">
        <v>282</v>
      </c>
      <c r="L196" s="90" t="s">
        <v>99</v>
      </c>
      <c r="M196" s="90" t="s">
        <v>87</v>
      </c>
      <c r="N196" s="90" t="s">
        <v>104</v>
      </c>
      <c r="O196" s="91">
        <f>(SUM(Table1[[#This Row],[Likes]],Table1[[#This Row],[Shares]],Table1[[#This Row],[Comments]])/Table1[[#This Row],[Impressions]] )</f>
        <v>0.13667732704931829</v>
      </c>
      <c r="P196" s="90" t="s">
        <v>345</v>
      </c>
      <c r="Q196" s="90">
        <f t="shared" si="3"/>
        <v>992</v>
      </c>
    </row>
    <row r="197" spans="1:17" ht="14.25" customHeight="1" x14ac:dyDescent="0.3">
      <c r="A197" s="15" t="s">
        <v>460</v>
      </c>
      <c r="B197" s="15" t="s">
        <v>2</v>
      </c>
      <c r="C197" s="48" t="s">
        <v>461</v>
      </c>
      <c r="D197" s="15" t="s">
        <v>85</v>
      </c>
      <c r="E197" s="15" t="s">
        <v>86</v>
      </c>
      <c r="F197" s="15">
        <v>1813</v>
      </c>
      <c r="G197" s="15">
        <v>623</v>
      </c>
      <c r="H197" s="15">
        <v>72</v>
      </c>
      <c r="I197" s="15">
        <v>19943</v>
      </c>
      <c r="J197" s="90">
        <v>18959</v>
      </c>
      <c r="K197" s="90">
        <v>85</v>
      </c>
      <c r="L197" s="90" t="s">
        <v>99</v>
      </c>
      <c r="M197" s="90" t="s">
        <v>104</v>
      </c>
      <c r="N197" s="90" t="s">
        <v>87</v>
      </c>
      <c r="O197" s="91">
        <f>(SUM(Table1[[#This Row],[Likes]],Table1[[#This Row],[Shares]],Table1[[#This Row],[Comments]])/Table1[[#This Row],[Impressions]] )</f>
        <v>0.12575841147269717</v>
      </c>
      <c r="P197" s="90" t="s">
        <v>165</v>
      </c>
      <c r="Q197" s="90">
        <f t="shared" si="3"/>
        <v>780</v>
      </c>
    </row>
    <row r="198" spans="1:17" ht="14.25" customHeight="1" x14ac:dyDescent="0.3">
      <c r="A198" s="15" t="s">
        <v>462</v>
      </c>
      <c r="B198" s="15" t="s">
        <v>3</v>
      </c>
      <c r="C198" s="48" t="s">
        <v>396</v>
      </c>
      <c r="D198" s="15" t="s">
        <v>79</v>
      </c>
      <c r="E198" s="15" t="s">
        <v>80</v>
      </c>
      <c r="F198" s="15">
        <v>4782</v>
      </c>
      <c r="G198" s="15">
        <v>721</v>
      </c>
      <c r="H198" s="15">
        <v>82</v>
      </c>
      <c r="I198" s="15">
        <v>86076</v>
      </c>
      <c r="J198" s="90">
        <v>85339</v>
      </c>
      <c r="K198" s="90">
        <v>19</v>
      </c>
      <c r="L198" s="90" t="s">
        <v>88</v>
      </c>
      <c r="M198" s="90" t="s">
        <v>137</v>
      </c>
      <c r="N198" s="90" t="s">
        <v>666</v>
      </c>
      <c r="O198" s="91">
        <f>(SUM(Table1[[#This Row],[Likes]],Table1[[#This Row],[Shares]],Table1[[#This Row],[Comments]])/Table1[[#This Row],[Impressions]] )</f>
        <v>6.4884520656164318E-2</v>
      </c>
      <c r="P198" s="90" t="s">
        <v>137</v>
      </c>
      <c r="Q198" s="90">
        <f t="shared" si="3"/>
        <v>822</v>
      </c>
    </row>
    <row r="199" spans="1:17" ht="14.25" customHeight="1" x14ac:dyDescent="0.3">
      <c r="A199" s="15" t="s">
        <v>463</v>
      </c>
      <c r="B199" s="15" t="s">
        <v>3</v>
      </c>
      <c r="C199" s="48" t="s">
        <v>464</v>
      </c>
      <c r="D199" s="15" t="s">
        <v>109</v>
      </c>
      <c r="E199" s="15" t="s">
        <v>110</v>
      </c>
      <c r="F199" s="15">
        <v>1048</v>
      </c>
      <c r="G199" s="15">
        <v>374</v>
      </c>
      <c r="H199" s="15">
        <v>450</v>
      </c>
      <c r="I199" s="15">
        <v>9432</v>
      </c>
      <c r="J199" s="90">
        <v>8882</v>
      </c>
      <c r="K199" s="90">
        <v>158</v>
      </c>
      <c r="L199" s="90" t="s">
        <v>88</v>
      </c>
      <c r="M199" s="90" t="s">
        <v>104</v>
      </c>
      <c r="N199" s="90" t="s">
        <v>81</v>
      </c>
      <c r="O199" s="91">
        <f>(SUM(Table1[[#This Row],[Likes]],Table1[[#This Row],[Shares]],Table1[[#This Row],[Comments]])/Table1[[#This Row],[Impressions]] )</f>
        <v>0.19847328244274809</v>
      </c>
      <c r="P199" s="90" t="s">
        <v>269</v>
      </c>
      <c r="Q199" s="90">
        <f t="shared" si="3"/>
        <v>982</v>
      </c>
    </row>
    <row r="200" spans="1:17" ht="14.25" customHeight="1" x14ac:dyDescent="0.3">
      <c r="A200" s="15" t="s">
        <v>465</v>
      </c>
      <c r="B200" s="15" t="s">
        <v>4</v>
      </c>
      <c r="C200" s="48" t="s">
        <v>178</v>
      </c>
      <c r="D200" s="15" t="s">
        <v>102</v>
      </c>
      <c r="E200" s="15" t="s">
        <v>103</v>
      </c>
      <c r="F200" s="15">
        <v>2509</v>
      </c>
      <c r="G200" s="15">
        <v>324</v>
      </c>
      <c r="H200" s="15">
        <v>171</v>
      </c>
      <c r="I200" s="15">
        <v>35126</v>
      </c>
      <c r="J200" s="90">
        <v>34685</v>
      </c>
      <c r="K200" s="90">
        <v>277</v>
      </c>
      <c r="L200" s="90" t="s">
        <v>88</v>
      </c>
      <c r="M200" s="90" t="s">
        <v>137</v>
      </c>
      <c r="N200" s="90" t="s">
        <v>666</v>
      </c>
      <c r="O200" s="91">
        <f>(SUM(Table1[[#This Row],[Likes]],Table1[[#This Row],[Shares]],Table1[[#This Row],[Comments]])/Table1[[#This Row],[Impressions]] )</f>
        <v>8.5520696919660646E-2</v>
      </c>
      <c r="P200" s="90" t="s">
        <v>137</v>
      </c>
      <c r="Q200" s="90">
        <f t="shared" si="3"/>
        <v>772</v>
      </c>
    </row>
    <row r="201" spans="1:17" ht="14.25" customHeight="1" x14ac:dyDescent="0.3">
      <c r="A201" s="15" t="s">
        <v>466</v>
      </c>
      <c r="B201" s="15" t="s">
        <v>1</v>
      </c>
      <c r="C201" s="48" t="s">
        <v>467</v>
      </c>
      <c r="D201" s="15" t="s">
        <v>79</v>
      </c>
      <c r="E201" s="15" t="s">
        <v>80</v>
      </c>
      <c r="F201" s="15">
        <v>3718</v>
      </c>
      <c r="G201" s="15">
        <v>385</v>
      </c>
      <c r="H201" s="15">
        <v>310</v>
      </c>
      <c r="I201" s="15">
        <v>70642</v>
      </c>
      <c r="J201" s="90">
        <v>69749</v>
      </c>
      <c r="K201" s="90">
        <v>233</v>
      </c>
      <c r="L201" s="90" t="s">
        <v>82</v>
      </c>
      <c r="M201" s="90" t="s">
        <v>104</v>
      </c>
      <c r="N201" s="90" t="s">
        <v>666</v>
      </c>
      <c r="O201" s="91">
        <f>(SUM(Table1[[#This Row],[Likes]],Table1[[#This Row],[Shares]],Table1[[#This Row],[Comments]])/Table1[[#This Row],[Impressions]] )</f>
        <v>6.246991874522239E-2</v>
      </c>
      <c r="P201" s="90" t="s">
        <v>104</v>
      </c>
      <c r="Q201" s="90">
        <f t="shared" si="3"/>
        <v>928</v>
      </c>
    </row>
    <row r="202" spans="1:17" ht="14.25" customHeight="1" x14ac:dyDescent="0.3">
      <c r="A202" s="15" t="s">
        <v>468</v>
      </c>
      <c r="B202" s="15" t="s">
        <v>3</v>
      </c>
      <c r="C202" s="48" t="s">
        <v>469</v>
      </c>
      <c r="D202" s="15" t="s">
        <v>79</v>
      </c>
      <c r="E202" s="15" t="s">
        <v>80</v>
      </c>
      <c r="F202" s="15">
        <v>802</v>
      </c>
      <c r="G202" s="15">
        <v>262</v>
      </c>
      <c r="H202" s="15">
        <v>244</v>
      </c>
      <c r="I202" s="15">
        <v>14436</v>
      </c>
      <c r="J202" s="90">
        <v>14280</v>
      </c>
      <c r="K202" s="90">
        <v>49</v>
      </c>
      <c r="L202" s="90" t="s">
        <v>115</v>
      </c>
      <c r="M202" s="90" t="s">
        <v>81</v>
      </c>
      <c r="N202" s="90" t="s">
        <v>137</v>
      </c>
      <c r="O202" s="91">
        <f>(SUM(Table1[[#This Row],[Likes]],Table1[[#This Row],[Shares]],Table1[[#This Row],[Comments]])/Table1[[#This Row],[Impressions]] )</f>
        <v>9.0606816292601824E-2</v>
      </c>
      <c r="P202" s="90" t="s">
        <v>134</v>
      </c>
      <c r="Q202" s="90">
        <f t="shared" si="3"/>
        <v>555</v>
      </c>
    </row>
    <row r="203" spans="1:17" ht="14.25" customHeight="1" x14ac:dyDescent="0.3">
      <c r="A203" s="15" t="s">
        <v>470</v>
      </c>
      <c r="B203" s="15" t="s">
        <v>1</v>
      </c>
      <c r="C203" s="48" t="s">
        <v>471</v>
      </c>
      <c r="D203" s="15" t="s">
        <v>109</v>
      </c>
      <c r="E203" s="15" t="s">
        <v>110</v>
      </c>
      <c r="F203" s="15">
        <v>1871</v>
      </c>
      <c r="G203" s="15">
        <v>252</v>
      </c>
      <c r="H203" s="15">
        <v>335</v>
      </c>
      <c r="I203" s="15">
        <v>29936</v>
      </c>
      <c r="J203" s="90">
        <v>29576</v>
      </c>
      <c r="K203" s="90">
        <v>288</v>
      </c>
      <c r="L203" s="90" t="s">
        <v>88</v>
      </c>
      <c r="M203" s="90" t="s">
        <v>104</v>
      </c>
      <c r="N203" s="90" t="s">
        <v>666</v>
      </c>
      <c r="O203" s="91">
        <f>(SUM(Table1[[#This Row],[Likes]],Table1[[#This Row],[Shares]],Table1[[#This Row],[Comments]])/Table1[[#This Row],[Impressions]] )</f>
        <v>8.2108498129342594E-2</v>
      </c>
      <c r="P203" s="90" t="s">
        <v>104</v>
      </c>
      <c r="Q203" s="90">
        <f t="shared" si="3"/>
        <v>875</v>
      </c>
    </row>
    <row r="204" spans="1:17" ht="14.25" customHeight="1" x14ac:dyDescent="0.3">
      <c r="A204" s="15" t="s">
        <v>472</v>
      </c>
      <c r="B204" s="15" t="s">
        <v>2</v>
      </c>
      <c r="C204" s="48" t="s">
        <v>473</v>
      </c>
      <c r="D204" s="15" t="s">
        <v>102</v>
      </c>
      <c r="E204" s="15" t="s">
        <v>103</v>
      </c>
      <c r="F204" s="15">
        <v>3773</v>
      </c>
      <c r="G204" s="15">
        <v>299</v>
      </c>
      <c r="H204" s="15">
        <v>38</v>
      </c>
      <c r="I204" s="15">
        <v>71687</v>
      </c>
      <c r="J204" s="90">
        <v>71447</v>
      </c>
      <c r="K204" s="90">
        <v>286</v>
      </c>
      <c r="L204" s="90" t="s">
        <v>115</v>
      </c>
      <c r="M204" s="90" t="s">
        <v>104</v>
      </c>
      <c r="N204" s="90" t="s">
        <v>666</v>
      </c>
      <c r="O204" s="91">
        <f>(SUM(Table1[[#This Row],[Likes]],Table1[[#This Row],[Shares]],Table1[[#This Row],[Comments]])/Table1[[#This Row],[Impressions]] )</f>
        <v>5.7332570758993957E-2</v>
      </c>
      <c r="P204" s="90" t="s">
        <v>104</v>
      </c>
      <c r="Q204" s="90">
        <f t="shared" si="3"/>
        <v>623</v>
      </c>
    </row>
    <row r="205" spans="1:17" ht="14.25" customHeight="1" x14ac:dyDescent="0.3">
      <c r="A205" s="15" t="s">
        <v>474</v>
      </c>
      <c r="B205" s="15" t="s">
        <v>2</v>
      </c>
      <c r="C205" s="48" t="s">
        <v>391</v>
      </c>
      <c r="D205" s="15" t="s">
        <v>102</v>
      </c>
      <c r="E205" s="15" t="s">
        <v>103</v>
      </c>
      <c r="F205" s="15">
        <v>2234</v>
      </c>
      <c r="G205" s="15">
        <v>653</v>
      </c>
      <c r="H205" s="15">
        <v>432</v>
      </c>
      <c r="I205" s="15">
        <v>11170</v>
      </c>
      <c r="J205" s="90">
        <v>10569</v>
      </c>
      <c r="K205" s="90">
        <v>198</v>
      </c>
      <c r="L205" s="90" t="s">
        <v>115</v>
      </c>
      <c r="M205" s="90" t="s">
        <v>137</v>
      </c>
      <c r="N205" s="90" t="s">
        <v>118</v>
      </c>
      <c r="O205" s="91">
        <f>(SUM(Table1[[#This Row],[Likes]],Table1[[#This Row],[Shares]],Table1[[#This Row],[Comments]])/Table1[[#This Row],[Impressions]] )</f>
        <v>0.29713518352730528</v>
      </c>
      <c r="P205" s="90" t="s">
        <v>324</v>
      </c>
      <c r="Q205" s="90">
        <f t="shared" si="3"/>
        <v>1283</v>
      </c>
    </row>
    <row r="206" spans="1:17" ht="14.25" customHeight="1" x14ac:dyDescent="0.3">
      <c r="A206" s="15" t="s">
        <v>475</v>
      </c>
      <c r="B206" s="15" t="s">
        <v>3</v>
      </c>
      <c r="C206" s="48" t="s">
        <v>362</v>
      </c>
      <c r="D206" s="15" t="s">
        <v>129</v>
      </c>
      <c r="E206" s="15" t="s">
        <v>130</v>
      </c>
      <c r="F206" s="15">
        <v>3820</v>
      </c>
      <c r="G206" s="15">
        <v>697</v>
      </c>
      <c r="H206" s="15">
        <v>268</v>
      </c>
      <c r="I206" s="15">
        <v>45840</v>
      </c>
      <c r="J206" s="90">
        <v>45631</v>
      </c>
      <c r="K206" s="90">
        <v>171</v>
      </c>
      <c r="L206" s="90" t="s">
        <v>82</v>
      </c>
      <c r="M206" s="90" t="s">
        <v>118</v>
      </c>
      <c r="N206" s="90" t="s">
        <v>137</v>
      </c>
      <c r="O206" s="91">
        <f>(SUM(Table1[[#This Row],[Likes]],Table1[[#This Row],[Shares]],Table1[[#This Row],[Comments]])/Table1[[#This Row],[Impressions]] )</f>
        <v>0.1043848167539267</v>
      </c>
      <c r="P206" s="90" t="s">
        <v>222</v>
      </c>
      <c r="Q206" s="90">
        <f t="shared" si="3"/>
        <v>1136</v>
      </c>
    </row>
    <row r="207" spans="1:17" ht="14.25" customHeight="1" x14ac:dyDescent="0.3">
      <c r="A207" s="15" t="s">
        <v>476</v>
      </c>
      <c r="B207" s="15" t="s">
        <v>3</v>
      </c>
      <c r="C207" s="48" t="s">
        <v>106</v>
      </c>
      <c r="D207" s="15" t="s">
        <v>85</v>
      </c>
      <c r="E207" s="15" t="s">
        <v>86</v>
      </c>
      <c r="F207" s="15">
        <v>941</v>
      </c>
      <c r="G207" s="15">
        <v>121</v>
      </c>
      <c r="H207" s="15">
        <v>458</v>
      </c>
      <c r="I207" s="15">
        <v>14115</v>
      </c>
      <c r="J207" s="90">
        <v>13838</v>
      </c>
      <c r="K207" s="90">
        <v>87</v>
      </c>
      <c r="L207" s="90" t="s">
        <v>88</v>
      </c>
      <c r="M207" s="90" t="s">
        <v>87</v>
      </c>
      <c r="N207" s="90" t="s">
        <v>81</v>
      </c>
      <c r="O207" s="91">
        <f>(SUM(Table1[[#This Row],[Likes]],Table1[[#This Row],[Shares]],Table1[[#This Row],[Comments]])/Table1[[#This Row],[Impressions]] )</f>
        <v>0.10768685795253277</v>
      </c>
      <c r="P207" s="90" t="s">
        <v>91</v>
      </c>
      <c r="Q207" s="90">
        <f t="shared" si="3"/>
        <v>666</v>
      </c>
    </row>
    <row r="208" spans="1:17" ht="14.25" customHeight="1" x14ac:dyDescent="0.3">
      <c r="A208" s="15" t="s">
        <v>477</v>
      </c>
      <c r="B208" s="15" t="s">
        <v>3</v>
      </c>
      <c r="C208" s="48" t="s">
        <v>478</v>
      </c>
      <c r="D208" s="15" t="s">
        <v>102</v>
      </c>
      <c r="E208" s="15" t="s">
        <v>103</v>
      </c>
      <c r="F208" s="15">
        <v>4274</v>
      </c>
      <c r="G208" s="15">
        <v>340</v>
      </c>
      <c r="H208" s="15">
        <v>281</v>
      </c>
      <c r="I208" s="15">
        <v>34192</v>
      </c>
      <c r="J208" s="90">
        <v>33446</v>
      </c>
      <c r="K208" s="90">
        <v>129</v>
      </c>
      <c r="L208" s="90" t="s">
        <v>99</v>
      </c>
      <c r="M208" s="90" t="s">
        <v>118</v>
      </c>
      <c r="N208" s="90" t="s">
        <v>137</v>
      </c>
      <c r="O208" s="91">
        <f>(SUM(Table1[[#This Row],[Likes]],Table1[[#This Row],[Shares]],Table1[[#This Row],[Comments]])/Table1[[#This Row],[Impressions]] )</f>
        <v>0.14316214319138981</v>
      </c>
      <c r="P208" s="90" t="s">
        <v>222</v>
      </c>
      <c r="Q208" s="90">
        <f t="shared" si="3"/>
        <v>750</v>
      </c>
    </row>
    <row r="209" spans="1:17" ht="14.25" customHeight="1" x14ac:dyDescent="0.3">
      <c r="A209" s="15" t="s">
        <v>479</v>
      </c>
      <c r="B209" s="15" t="s">
        <v>4</v>
      </c>
      <c r="C209" s="48" t="s">
        <v>106</v>
      </c>
      <c r="D209" s="15" t="s">
        <v>129</v>
      </c>
      <c r="E209" s="15" t="s">
        <v>130</v>
      </c>
      <c r="F209" s="15">
        <v>2949</v>
      </c>
      <c r="G209" s="15">
        <v>476</v>
      </c>
      <c r="H209" s="15">
        <v>403</v>
      </c>
      <c r="I209" s="15">
        <v>44235</v>
      </c>
      <c r="J209" s="90">
        <v>43705</v>
      </c>
      <c r="K209" s="90">
        <v>135</v>
      </c>
      <c r="L209" s="90" t="s">
        <v>82</v>
      </c>
      <c r="M209" s="90" t="s">
        <v>104</v>
      </c>
      <c r="N209" s="90" t="s">
        <v>137</v>
      </c>
      <c r="O209" s="91">
        <f>(SUM(Table1[[#This Row],[Likes]],Table1[[#This Row],[Shares]],Table1[[#This Row],[Comments]])/Table1[[#This Row],[Impressions]] )</f>
        <v>8.6537809426924378E-2</v>
      </c>
      <c r="P209" s="90" t="s">
        <v>176</v>
      </c>
      <c r="Q209" s="90">
        <f t="shared" si="3"/>
        <v>1014</v>
      </c>
    </row>
    <row r="210" spans="1:17" ht="14.25" customHeight="1" x14ac:dyDescent="0.3">
      <c r="A210" s="15" t="s">
        <v>480</v>
      </c>
      <c r="B210" s="15" t="s">
        <v>3</v>
      </c>
      <c r="C210" s="48" t="s">
        <v>481</v>
      </c>
      <c r="D210" s="15" t="s">
        <v>129</v>
      </c>
      <c r="E210" s="15" t="s">
        <v>130</v>
      </c>
      <c r="F210" s="15">
        <v>3160</v>
      </c>
      <c r="G210" s="15">
        <v>204</v>
      </c>
      <c r="H210" s="15">
        <v>297</v>
      </c>
      <c r="I210" s="15">
        <v>44240</v>
      </c>
      <c r="J210" s="90">
        <v>43666</v>
      </c>
      <c r="K210" s="90">
        <v>49</v>
      </c>
      <c r="L210" s="90" t="s">
        <v>82</v>
      </c>
      <c r="M210" s="90" t="s">
        <v>118</v>
      </c>
      <c r="N210" s="90" t="s">
        <v>104</v>
      </c>
      <c r="O210" s="91">
        <f>(SUM(Table1[[#This Row],[Likes]],Table1[[#This Row],[Shares]],Table1[[#This Row],[Comments]])/Table1[[#This Row],[Impressions]] )</f>
        <v>8.2753164556962022E-2</v>
      </c>
      <c r="P210" s="90" t="s">
        <v>147</v>
      </c>
      <c r="Q210" s="90">
        <f t="shared" si="3"/>
        <v>550</v>
      </c>
    </row>
    <row r="211" spans="1:17" ht="14.25" customHeight="1" x14ac:dyDescent="0.3">
      <c r="A211" s="15" t="s">
        <v>482</v>
      </c>
      <c r="B211" s="15" t="s">
        <v>4</v>
      </c>
      <c r="C211" s="48" t="s">
        <v>405</v>
      </c>
      <c r="D211" s="15" t="s">
        <v>109</v>
      </c>
      <c r="E211" s="15" t="s">
        <v>110</v>
      </c>
      <c r="F211" s="15">
        <v>257</v>
      </c>
      <c r="G211" s="15">
        <v>966</v>
      </c>
      <c r="H211" s="15">
        <v>398</v>
      </c>
      <c r="I211" s="15">
        <v>3341</v>
      </c>
      <c r="J211" s="90">
        <v>2753</v>
      </c>
      <c r="K211" s="90">
        <v>287</v>
      </c>
      <c r="L211" s="90" t="s">
        <v>82</v>
      </c>
      <c r="M211" s="90" t="s">
        <v>104</v>
      </c>
      <c r="N211" s="90" t="s">
        <v>81</v>
      </c>
      <c r="O211" s="91">
        <f>(SUM(Table1[[#This Row],[Likes]],Table1[[#This Row],[Shares]],Table1[[#This Row],[Comments]])/Table1[[#This Row],[Impressions]] )</f>
        <v>0.48518407662376534</v>
      </c>
      <c r="P211" s="90" t="s">
        <v>269</v>
      </c>
      <c r="Q211" s="90">
        <f t="shared" si="3"/>
        <v>1651</v>
      </c>
    </row>
    <row r="212" spans="1:17" ht="14.25" customHeight="1" x14ac:dyDescent="0.3">
      <c r="A212" s="15" t="s">
        <v>483</v>
      </c>
      <c r="B212" s="15" t="s">
        <v>3</v>
      </c>
      <c r="C212" s="48" t="s">
        <v>484</v>
      </c>
      <c r="D212" s="15" t="s">
        <v>102</v>
      </c>
      <c r="E212" s="15" t="s">
        <v>103</v>
      </c>
      <c r="F212" s="15">
        <v>2120</v>
      </c>
      <c r="G212" s="15">
        <v>38</v>
      </c>
      <c r="H212" s="15">
        <v>212</v>
      </c>
      <c r="I212" s="15">
        <v>12720</v>
      </c>
      <c r="J212" s="90">
        <v>12564</v>
      </c>
      <c r="K212" s="90">
        <v>21</v>
      </c>
      <c r="L212" s="90" t="s">
        <v>82</v>
      </c>
      <c r="M212" s="90" t="s">
        <v>104</v>
      </c>
      <c r="N212" s="90" t="s">
        <v>81</v>
      </c>
      <c r="O212" s="91">
        <f>(SUM(Table1[[#This Row],[Likes]],Table1[[#This Row],[Shares]],Table1[[#This Row],[Comments]])/Table1[[#This Row],[Impressions]] )</f>
        <v>0.18632075471698112</v>
      </c>
      <c r="P212" s="90" t="s">
        <v>269</v>
      </c>
      <c r="Q212" s="90">
        <f t="shared" si="3"/>
        <v>271</v>
      </c>
    </row>
    <row r="213" spans="1:17" ht="14.25" customHeight="1" x14ac:dyDescent="0.3">
      <c r="A213" s="15" t="s">
        <v>485</v>
      </c>
      <c r="B213" s="15" t="s">
        <v>4</v>
      </c>
      <c r="C213" s="48" t="s">
        <v>253</v>
      </c>
      <c r="D213" s="15" t="s">
        <v>129</v>
      </c>
      <c r="E213" s="15" t="s">
        <v>130</v>
      </c>
      <c r="F213" s="15">
        <v>3874</v>
      </c>
      <c r="G213" s="15">
        <v>884</v>
      </c>
      <c r="H213" s="15">
        <v>19</v>
      </c>
      <c r="I213" s="15">
        <v>38740</v>
      </c>
      <c r="J213" s="90">
        <v>38552</v>
      </c>
      <c r="K213" s="90">
        <v>219</v>
      </c>
      <c r="L213" s="90" t="s">
        <v>115</v>
      </c>
      <c r="M213" s="90" t="s">
        <v>118</v>
      </c>
      <c r="N213" s="90" t="s">
        <v>666</v>
      </c>
      <c r="O213" s="91">
        <f>(SUM(Table1[[#This Row],[Likes]],Table1[[#This Row],[Shares]],Table1[[#This Row],[Comments]])/Table1[[#This Row],[Impressions]] )</f>
        <v>0.123309241094476</v>
      </c>
      <c r="P213" s="90" t="s">
        <v>118</v>
      </c>
      <c r="Q213" s="90">
        <f t="shared" si="3"/>
        <v>1122</v>
      </c>
    </row>
    <row r="214" spans="1:17" ht="14.25" customHeight="1" x14ac:dyDescent="0.3">
      <c r="A214" s="15" t="s">
        <v>486</v>
      </c>
      <c r="B214" s="15" t="s">
        <v>1</v>
      </c>
      <c r="C214" s="48" t="s">
        <v>487</v>
      </c>
      <c r="D214" s="15" t="s">
        <v>102</v>
      </c>
      <c r="E214" s="15" t="s">
        <v>103</v>
      </c>
      <c r="F214" s="15">
        <v>2696</v>
      </c>
      <c r="G214" s="15">
        <v>628</v>
      </c>
      <c r="H214" s="15">
        <v>443</v>
      </c>
      <c r="I214" s="15">
        <v>45832</v>
      </c>
      <c r="J214" s="90">
        <v>45632</v>
      </c>
      <c r="K214" s="90">
        <v>248</v>
      </c>
      <c r="L214" s="90" t="s">
        <v>99</v>
      </c>
      <c r="M214" s="90" t="s">
        <v>81</v>
      </c>
      <c r="N214" s="90" t="s">
        <v>666</v>
      </c>
      <c r="O214" s="91">
        <f>(SUM(Table1[[#This Row],[Likes]],Table1[[#This Row],[Shares]],Table1[[#This Row],[Comments]])/Table1[[#This Row],[Impressions]] )</f>
        <v>8.21914819340199E-2</v>
      </c>
      <c r="P214" s="90" t="s">
        <v>81</v>
      </c>
      <c r="Q214" s="90">
        <f t="shared" si="3"/>
        <v>1319</v>
      </c>
    </row>
    <row r="215" spans="1:17" ht="14.25" customHeight="1" x14ac:dyDescent="0.3">
      <c r="A215" s="15" t="s">
        <v>488</v>
      </c>
      <c r="B215" s="15" t="s">
        <v>2</v>
      </c>
      <c r="C215" s="48" t="s">
        <v>78</v>
      </c>
      <c r="D215" s="15" t="s">
        <v>109</v>
      </c>
      <c r="E215" s="15" t="s">
        <v>110</v>
      </c>
      <c r="F215" s="15">
        <v>521</v>
      </c>
      <c r="G215" s="15">
        <v>746</v>
      </c>
      <c r="H215" s="15">
        <v>315</v>
      </c>
      <c r="I215" s="15">
        <v>4168</v>
      </c>
      <c r="J215" s="90">
        <v>3399</v>
      </c>
      <c r="K215" s="90">
        <v>282</v>
      </c>
      <c r="L215" s="90" t="s">
        <v>82</v>
      </c>
      <c r="M215" s="90" t="s">
        <v>81</v>
      </c>
      <c r="N215" s="90" t="s">
        <v>666</v>
      </c>
      <c r="O215" s="91">
        <f>(SUM(Table1[[#This Row],[Likes]],Table1[[#This Row],[Shares]],Table1[[#This Row],[Comments]])/Table1[[#This Row],[Impressions]] )</f>
        <v>0.37955854126679461</v>
      </c>
      <c r="P215" s="90" t="s">
        <v>81</v>
      </c>
      <c r="Q215" s="90">
        <f t="shared" si="3"/>
        <v>1343</v>
      </c>
    </row>
    <row r="216" spans="1:17" ht="14.25" customHeight="1" x14ac:dyDescent="0.3">
      <c r="A216" s="15" t="s">
        <v>489</v>
      </c>
      <c r="B216" s="15" t="s">
        <v>1</v>
      </c>
      <c r="C216" s="48" t="s">
        <v>490</v>
      </c>
      <c r="D216" s="15" t="s">
        <v>109</v>
      </c>
      <c r="E216" s="15" t="s">
        <v>110</v>
      </c>
      <c r="F216" s="15">
        <v>4872</v>
      </c>
      <c r="G216" s="15">
        <v>925</v>
      </c>
      <c r="H216" s="15">
        <v>176</v>
      </c>
      <c r="I216" s="15">
        <v>82824</v>
      </c>
      <c r="J216" s="90">
        <v>82543</v>
      </c>
      <c r="K216" s="90">
        <v>89</v>
      </c>
      <c r="L216" s="90" t="s">
        <v>82</v>
      </c>
      <c r="M216" s="90" t="s">
        <v>81</v>
      </c>
      <c r="N216" s="90" t="s">
        <v>104</v>
      </c>
      <c r="O216" s="91">
        <f>(SUM(Table1[[#This Row],[Likes]],Table1[[#This Row],[Shares]],Table1[[#This Row],[Comments]])/Table1[[#This Row],[Impressions]] )</f>
        <v>7.2116777745580993E-2</v>
      </c>
      <c r="P216" s="90" t="s">
        <v>162</v>
      </c>
      <c r="Q216" s="90">
        <f t="shared" si="3"/>
        <v>1190</v>
      </c>
    </row>
    <row r="217" spans="1:17" ht="14.25" customHeight="1" x14ac:dyDescent="0.3">
      <c r="A217" s="15" t="s">
        <v>491</v>
      </c>
      <c r="B217" s="15" t="s">
        <v>4</v>
      </c>
      <c r="C217" s="48" t="s">
        <v>323</v>
      </c>
      <c r="D217" s="15" t="s">
        <v>94</v>
      </c>
      <c r="E217" s="15" t="s">
        <v>95</v>
      </c>
      <c r="F217" s="15">
        <v>1509</v>
      </c>
      <c r="G217" s="15">
        <v>88</v>
      </c>
      <c r="H217" s="15">
        <v>163</v>
      </c>
      <c r="I217" s="15">
        <v>30180</v>
      </c>
      <c r="J217" s="90">
        <v>29689</v>
      </c>
      <c r="K217" s="90">
        <v>119</v>
      </c>
      <c r="L217" s="90" t="s">
        <v>82</v>
      </c>
      <c r="M217" s="90" t="s">
        <v>104</v>
      </c>
      <c r="N217" s="90" t="s">
        <v>666</v>
      </c>
      <c r="O217" s="91">
        <f>(SUM(Table1[[#This Row],[Likes]],Table1[[#This Row],[Shares]],Table1[[#This Row],[Comments]])/Table1[[#This Row],[Impressions]] )</f>
        <v>5.8316766070245198E-2</v>
      </c>
      <c r="P217" s="90" t="s">
        <v>104</v>
      </c>
      <c r="Q217" s="90">
        <f t="shared" si="3"/>
        <v>370</v>
      </c>
    </row>
    <row r="218" spans="1:17" ht="14.25" customHeight="1" x14ac:dyDescent="0.3">
      <c r="A218" s="15" t="s">
        <v>492</v>
      </c>
      <c r="B218" s="15" t="s">
        <v>1</v>
      </c>
      <c r="C218" s="48" t="s">
        <v>417</v>
      </c>
      <c r="D218" s="15" t="s">
        <v>109</v>
      </c>
      <c r="E218" s="15" t="s">
        <v>110</v>
      </c>
      <c r="F218" s="15">
        <v>4606</v>
      </c>
      <c r="G218" s="15">
        <v>931</v>
      </c>
      <c r="H218" s="15">
        <v>230</v>
      </c>
      <c r="I218" s="15">
        <v>92120</v>
      </c>
      <c r="J218" s="90">
        <v>91440</v>
      </c>
      <c r="K218" s="90">
        <v>56</v>
      </c>
      <c r="L218" s="90" t="s">
        <v>99</v>
      </c>
      <c r="M218" s="90" t="s">
        <v>137</v>
      </c>
      <c r="N218" s="90" t="s">
        <v>87</v>
      </c>
      <c r="O218" s="91">
        <f>(SUM(Table1[[#This Row],[Likes]],Table1[[#This Row],[Shares]],Table1[[#This Row],[Comments]])/Table1[[#This Row],[Impressions]] )</f>
        <v>6.2603126356925748E-2</v>
      </c>
      <c r="P218" s="90" t="s">
        <v>204</v>
      </c>
      <c r="Q218" s="90">
        <f t="shared" si="3"/>
        <v>1217</v>
      </c>
    </row>
    <row r="219" spans="1:17" ht="14.25" customHeight="1" x14ac:dyDescent="0.3">
      <c r="A219" s="15" t="s">
        <v>493</v>
      </c>
      <c r="B219" s="15" t="s">
        <v>1</v>
      </c>
      <c r="C219" s="48" t="s">
        <v>309</v>
      </c>
      <c r="D219" s="15" t="s">
        <v>102</v>
      </c>
      <c r="E219" s="15" t="s">
        <v>103</v>
      </c>
      <c r="F219" s="15">
        <v>1869</v>
      </c>
      <c r="G219" s="15">
        <v>453</v>
      </c>
      <c r="H219" s="15">
        <v>490</v>
      </c>
      <c r="I219" s="15">
        <v>14952</v>
      </c>
      <c r="J219" s="90">
        <v>14309</v>
      </c>
      <c r="K219" s="90">
        <v>275</v>
      </c>
      <c r="L219" s="90" t="s">
        <v>82</v>
      </c>
      <c r="M219" s="90" t="s">
        <v>137</v>
      </c>
      <c r="N219" s="90" t="s">
        <v>118</v>
      </c>
      <c r="O219" s="91">
        <f>(SUM(Table1[[#This Row],[Likes]],Table1[[#This Row],[Shares]],Table1[[#This Row],[Comments]])/Table1[[#This Row],[Impressions]] )</f>
        <v>0.18806848582129482</v>
      </c>
      <c r="P219" s="90" t="s">
        <v>324</v>
      </c>
      <c r="Q219" s="90">
        <f t="shared" si="3"/>
        <v>1218</v>
      </c>
    </row>
    <row r="220" spans="1:17" ht="14.25" customHeight="1" x14ac:dyDescent="0.3">
      <c r="A220" s="15" t="s">
        <v>494</v>
      </c>
      <c r="B220" s="15" t="s">
        <v>3</v>
      </c>
      <c r="C220" s="48" t="s">
        <v>230</v>
      </c>
      <c r="D220" s="15" t="s">
        <v>79</v>
      </c>
      <c r="E220" s="15" t="s">
        <v>80</v>
      </c>
      <c r="F220" s="15">
        <v>1188</v>
      </c>
      <c r="G220" s="15">
        <v>470</v>
      </c>
      <c r="H220" s="15">
        <v>174</v>
      </c>
      <c r="I220" s="15">
        <v>7128</v>
      </c>
      <c r="J220" s="90">
        <v>6145</v>
      </c>
      <c r="K220" s="90">
        <v>270</v>
      </c>
      <c r="L220" s="90" t="s">
        <v>88</v>
      </c>
      <c r="M220" s="90" t="s">
        <v>118</v>
      </c>
      <c r="N220" s="90" t="s">
        <v>87</v>
      </c>
      <c r="O220" s="91">
        <f>(SUM(Table1[[#This Row],[Likes]],Table1[[#This Row],[Shares]],Table1[[#This Row],[Comments]])/Table1[[#This Row],[Impressions]] )</f>
        <v>0.25701459034792368</v>
      </c>
      <c r="P220" s="90" t="s">
        <v>98</v>
      </c>
      <c r="Q220" s="90">
        <f t="shared" si="3"/>
        <v>914</v>
      </c>
    </row>
    <row r="221" spans="1:17" ht="14.25" customHeight="1" x14ac:dyDescent="0.3">
      <c r="A221" s="15" t="s">
        <v>495</v>
      </c>
      <c r="B221" s="15" t="s">
        <v>2</v>
      </c>
      <c r="C221" s="48" t="s">
        <v>471</v>
      </c>
      <c r="D221" s="15" t="s">
        <v>94</v>
      </c>
      <c r="E221" s="15" t="s">
        <v>95</v>
      </c>
      <c r="F221" s="15">
        <v>84</v>
      </c>
      <c r="G221" s="15">
        <v>897</v>
      </c>
      <c r="H221" s="15">
        <v>85</v>
      </c>
      <c r="I221" s="15">
        <v>588</v>
      </c>
      <c r="J221" s="90">
        <v>8</v>
      </c>
      <c r="K221" s="90">
        <v>12</v>
      </c>
      <c r="L221" s="90" t="s">
        <v>88</v>
      </c>
      <c r="M221" s="90" t="s">
        <v>118</v>
      </c>
      <c r="N221" s="90" t="s">
        <v>666</v>
      </c>
      <c r="O221" s="91">
        <f>(SUM(Table1[[#This Row],[Likes]],Table1[[#This Row],[Shares]],Table1[[#This Row],[Comments]])/Table1[[#This Row],[Impressions]] )</f>
        <v>1.8129251700680271</v>
      </c>
      <c r="P221" s="90" t="s">
        <v>118</v>
      </c>
      <c r="Q221" s="90">
        <f t="shared" si="3"/>
        <v>994</v>
      </c>
    </row>
    <row r="222" spans="1:17" ht="14.25" customHeight="1" x14ac:dyDescent="0.3">
      <c r="A222" s="15" t="s">
        <v>496</v>
      </c>
      <c r="B222" s="15" t="s">
        <v>1</v>
      </c>
      <c r="C222" s="48" t="s">
        <v>311</v>
      </c>
      <c r="D222" s="15" t="s">
        <v>129</v>
      </c>
      <c r="E222" s="15" t="s">
        <v>130</v>
      </c>
      <c r="F222" s="15">
        <v>4453</v>
      </c>
      <c r="G222" s="15">
        <v>111</v>
      </c>
      <c r="H222" s="15">
        <v>420</v>
      </c>
      <c r="I222" s="15">
        <v>31171</v>
      </c>
      <c r="J222" s="90">
        <v>30565</v>
      </c>
      <c r="K222" s="90">
        <v>23</v>
      </c>
      <c r="L222" s="90" t="s">
        <v>115</v>
      </c>
      <c r="M222" s="90" t="s">
        <v>104</v>
      </c>
      <c r="N222" s="90" t="s">
        <v>87</v>
      </c>
      <c r="O222" s="91">
        <f>(SUM(Table1[[#This Row],[Likes]],Table1[[#This Row],[Shares]],Table1[[#This Row],[Comments]])/Table1[[#This Row],[Impressions]] )</f>
        <v>0.15989220750056141</v>
      </c>
      <c r="P222" s="90" t="s">
        <v>165</v>
      </c>
      <c r="Q222" s="90">
        <f t="shared" si="3"/>
        <v>554</v>
      </c>
    </row>
    <row r="223" spans="1:17" ht="14.25" customHeight="1" x14ac:dyDescent="0.3">
      <c r="A223" s="15" t="s">
        <v>497</v>
      </c>
      <c r="B223" s="15" t="s">
        <v>1</v>
      </c>
      <c r="C223" s="48" t="s">
        <v>498</v>
      </c>
      <c r="D223" s="15" t="s">
        <v>79</v>
      </c>
      <c r="E223" s="15" t="s">
        <v>80</v>
      </c>
      <c r="F223" s="15">
        <v>1814</v>
      </c>
      <c r="G223" s="15">
        <v>653</v>
      </c>
      <c r="H223" s="15">
        <v>363</v>
      </c>
      <c r="I223" s="15">
        <v>25396</v>
      </c>
      <c r="J223" s="90">
        <v>25286</v>
      </c>
      <c r="K223" s="90">
        <v>39</v>
      </c>
      <c r="L223" s="90" t="s">
        <v>82</v>
      </c>
      <c r="M223" s="90" t="s">
        <v>118</v>
      </c>
      <c r="N223" s="90" t="s">
        <v>666</v>
      </c>
      <c r="O223" s="91">
        <f>(SUM(Table1[[#This Row],[Likes]],Table1[[#This Row],[Shares]],Table1[[#This Row],[Comments]])/Table1[[#This Row],[Impressions]] )</f>
        <v>0.11143487163332809</v>
      </c>
      <c r="P223" s="90" t="s">
        <v>118</v>
      </c>
      <c r="Q223" s="90">
        <f t="shared" si="3"/>
        <v>1055</v>
      </c>
    </row>
    <row r="224" spans="1:17" ht="14.25" customHeight="1" x14ac:dyDescent="0.3">
      <c r="A224" s="15" t="s">
        <v>499</v>
      </c>
      <c r="B224" s="15" t="s">
        <v>3</v>
      </c>
      <c r="C224" s="48" t="s">
        <v>415</v>
      </c>
      <c r="D224" s="15" t="s">
        <v>109</v>
      </c>
      <c r="E224" s="15" t="s">
        <v>110</v>
      </c>
      <c r="F224" s="15">
        <v>3338</v>
      </c>
      <c r="G224" s="15">
        <v>277</v>
      </c>
      <c r="H224" s="15">
        <v>118</v>
      </c>
      <c r="I224" s="15">
        <v>60084</v>
      </c>
      <c r="J224" s="90">
        <v>59842</v>
      </c>
      <c r="K224" s="90">
        <v>252</v>
      </c>
      <c r="L224" s="90" t="s">
        <v>82</v>
      </c>
      <c r="M224" s="90" t="s">
        <v>118</v>
      </c>
      <c r="N224" s="90" t="s">
        <v>666</v>
      </c>
      <c r="O224" s="91">
        <f>(SUM(Table1[[#This Row],[Likes]],Table1[[#This Row],[Shares]],Table1[[#This Row],[Comments]])/Table1[[#This Row],[Impressions]] )</f>
        <v>6.2129685107516146E-2</v>
      </c>
      <c r="P224" s="90" t="s">
        <v>118</v>
      </c>
      <c r="Q224" s="90">
        <f t="shared" si="3"/>
        <v>647</v>
      </c>
    </row>
    <row r="225" spans="1:17" ht="14.25" customHeight="1" x14ac:dyDescent="0.3">
      <c r="A225" s="15" t="s">
        <v>500</v>
      </c>
      <c r="B225" s="15" t="s">
        <v>1</v>
      </c>
      <c r="C225" s="48" t="s">
        <v>501</v>
      </c>
      <c r="D225" s="15" t="s">
        <v>109</v>
      </c>
      <c r="E225" s="15" t="s">
        <v>110</v>
      </c>
      <c r="F225" s="15">
        <v>602</v>
      </c>
      <c r="G225" s="15">
        <v>594</v>
      </c>
      <c r="H225" s="15">
        <v>156</v>
      </c>
      <c r="I225" s="15">
        <v>4214</v>
      </c>
      <c r="J225" s="90">
        <v>3363</v>
      </c>
      <c r="K225" s="90">
        <v>164</v>
      </c>
      <c r="L225" s="90" t="s">
        <v>99</v>
      </c>
      <c r="M225" s="90" t="s">
        <v>81</v>
      </c>
      <c r="N225" s="90" t="s">
        <v>666</v>
      </c>
      <c r="O225" s="91">
        <f>(SUM(Table1[[#This Row],[Likes]],Table1[[#This Row],[Shares]],Table1[[#This Row],[Comments]])/Table1[[#This Row],[Impressions]] )</f>
        <v>0.32083531086853345</v>
      </c>
      <c r="P225" s="90" t="s">
        <v>81</v>
      </c>
      <c r="Q225" s="90">
        <f t="shared" si="3"/>
        <v>914</v>
      </c>
    </row>
    <row r="226" spans="1:17" ht="14.25" customHeight="1" x14ac:dyDescent="0.3">
      <c r="A226" s="15" t="s">
        <v>502</v>
      </c>
      <c r="B226" s="15" t="s">
        <v>3</v>
      </c>
      <c r="C226" s="48" t="s">
        <v>430</v>
      </c>
      <c r="D226" s="15" t="s">
        <v>102</v>
      </c>
      <c r="E226" s="15" t="s">
        <v>103</v>
      </c>
      <c r="F226" s="15">
        <v>4672</v>
      </c>
      <c r="G226" s="15">
        <v>325</v>
      </c>
      <c r="H226" s="15">
        <v>32</v>
      </c>
      <c r="I226" s="15">
        <v>88768</v>
      </c>
      <c r="J226" s="90">
        <v>87833</v>
      </c>
      <c r="K226" s="90">
        <v>118</v>
      </c>
      <c r="L226" s="90" t="s">
        <v>99</v>
      </c>
      <c r="M226" s="90" t="s">
        <v>137</v>
      </c>
      <c r="N226" s="90" t="s">
        <v>81</v>
      </c>
      <c r="O226" s="91">
        <f>(SUM(Table1[[#This Row],[Likes]],Table1[[#This Row],[Shares]],Table1[[#This Row],[Comments]])/Table1[[#This Row],[Impressions]] )</f>
        <v>5.6653298485940883E-2</v>
      </c>
      <c r="P226" s="90" t="s">
        <v>187</v>
      </c>
      <c r="Q226" s="90">
        <f t="shared" si="3"/>
        <v>475</v>
      </c>
    </row>
    <row r="227" spans="1:17" ht="14.25" customHeight="1" x14ac:dyDescent="0.3">
      <c r="A227" s="15" t="s">
        <v>503</v>
      </c>
      <c r="B227" s="15" t="s">
        <v>2</v>
      </c>
      <c r="C227" s="48" t="s">
        <v>504</v>
      </c>
      <c r="D227" s="15" t="s">
        <v>102</v>
      </c>
      <c r="E227" s="15" t="s">
        <v>103</v>
      </c>
      <c r="F227" s="15">
        <v>1741</v>
      </c>
      <c r="G227" s="15">
        <v>164</v>
      </c>
      <c r="H227" s="15">
        <v>318</v>
      </c>
      <c r="I227" s="15">
        <v>8705</v>
      </c>
      <c r="J227" s="90">
        <v>8272</v>
      </c>
      <c r="K227" s="90">
        <v>121</v>
      </c>
      <c r="L227" s="90" t="s">
        <v>88</v>
      </c>
      <c r="M227" s="90" t="s">
        <v>81</v>
      </c>
      <c r="N227" s="90" t="s">
        <v>666</v>
      </c>
      <c r="O227" s="91">
        <f>(SUM(Table1[[#This Row],[Likes]],Table1[[#This Row],[Shares]],Table1[[#This Row],[Comments]])/Table1[[#This Row],[Impressions]] )</f>
        <v>0.25537047673750718</v>
      </c>
      <c r="P227" s="90" t="s">
        <v>81</v>
      </c>
      <c r="Q227" s="90">
        <f t="shared" si="3"/>
        <v>603</v>
      </c>
    </row>
    <row r="228" spans="1:17" ht="14.25" customHeight="1" x14ac:dyDescent="0.3">
      <c r="A228" s="15" t="s">
        <v>505</v>
      </c>
      <c r="B228" s="15" t="s">
        <v>2</v>
      </c>
      <c r="C228" s="48" t="s">
        <v>506</v>
      </c>
      <c r="D228" s="15" t="s">
        <v>85</v>
      </c>
      <c r="E228" s="15" t="s">
        <v>86</v>
      </c>
      <c r="F228" s="15">
        <v>246</v>
      </c>
      <c r="G228" s="15">
        <v>149</v>
      </c>
      <c r="H228" s="15">
        <v>130</v>
      </c>
      <c r="I228" s="15">
        <v>4674</v>
      </c>
      <c r="J228" s="90">
        <v>4390</v>
      </c>
      <c r="K228" s="90">
        <v>217</v>
      </c>
      <c r="L228" s="90" t="s">
        <v>88</v>
      </c>
      <c r="M228" s="90" t="s">
        <v>104</v>
      </c>
      <c r="N228" s="90" t="s">
        <v>137</v>
      </c>
      <c r="O228" s="91">
        <f>(SUM(Table1[[#This Row],[Likes]],Table1[[#This Row],[Shares]],Table1[[#This Row],[Comments]])/Table1[[#This Row],[Impressions]] )</f>
        <v>0.11232349165596919</v>
      </c>
      <c r="P228" s="90" t="s">
        <v>176</v>
      </c>
      <c r="Q228" s="90">
        <f t="shared" si="3"/>
        <v>496</v>
      </c>
    </row>
    <row r="229" spans="1:17" ht="14.25" customHeight="1" x14ac:dyDescent="0.3">
      <c r="A229" s="15" t="s">
        <v>507</v>
      </c>
      <c r="B229" s="15" t="s">
        <v>2</v>
      </c>
      <c r="C229" s="48" t="s">
        <v>508</v>
      </c>
      <c r="D229" s="15" t="s">
        <v>94</v>
      </c>
      <c r="E229" s="15" t="s">
        <v>95</v>
      </c>
      <c r="F229" s="15">
        <v>4808</v>
      </c>
      <c r="G229" s="15">
        <v>772</v>
      </c>
      <c r="H229" s="15">
        <v>320</v>
      </c>
      <c r="I229" s="15">
        <v>72120</v>
      </c>
      <c r="J229" s="90">
        <v>71696</v>
      </c>
      <c r="K229" s="90">
        <v>195</v>
      </c>
      <c r="L229" s="90" t="s">
        <v>115</v>
      </c>
      <c r="M229" s="90" t="s">
        <v>104</v>
      </c>
      <c r="N229" s="90" t="s">
        <v>81</v>
      </c>
      <c r="O229" s="91">
        <f>(SUM(Table1[[#This Row],[Likes]],Table1[[#This Row],[Shares]],Table1[[#This Row],[Comments]])/Table1[[#This Row],[Impressions]] )</f>
        <v>8.1808097615085965E-2</v>
      </c>
      <c r="P229" s="90" t="s">
        <v>269</v>
      </c>
      <c r="Q229" s="90">
        <f t="shared" si="3"/>
        <v>1287</v>
      </c>
    </row>
    <row r="230" spans="1:17" ht="14.25" customHeight="1" x14ac:dyDescent="0.3">
      <c r="A230" s="15" t="s">
        <v>509</v>
      </c>
      <c r="B230" s="15" t="s">
        <v>2</v>
      </c>
      <c r="C230" s="48" t="s">
        <v>210</v>
      </c>
      <c r="D230" s="15" t="s">
        <v>102</v>
      </c>
      <c r="E230" s="15" t="s">
        <v>103</v>
      </c>
      <c r="F230" s="15">
        <v>4799</v>
      </c>
      <c r="G230" s="15">
        <v>694</v>
      </c>
      <c r="H230" s="15">
        <v>289</v>
      </c>
      <c r="I230" s="15">
        <v>43191</v>
      </c>
      <c r="J230" s="90">
        <v>42228</v>
      </c>
      <c r="K230" s="90">
        <v>118</v>
      </c>
      <c r="L230" s="90" t="s">
        <v>88</v>
      </c>
      <c r="M230" s="90" t="s">
        <v>104</v>
      </c>
      <c r="N230" s="90" t="s">
        <v>666</v>
      </c>
      <c r="O230" s="91">
        <f>(SUM(Table1[[#This Row],[Likes]],Table1[[#This Row],[Shares]],Table1[[#This Row],[Comments]])/Table1[[#This Row],[Impressions]] )</f>
        <v>0.13387048227640017</v>
      </c>
      <c r="P230" s="90" t="s">
        <v>104</v>
      </c>
      <c r="Q230" s="90">
        <f t="shared" si="3"/>
        <v>1101</v>
      </c>
    </row>
    <row r="231" spans="1:17" ht="14.25" customHeight="1" x14ac:dyDescent="0.3">
      <c r="A231" s="15" t="s">
        <v>510</v>
      </c>
      <c r="B231" s="15" t="s">
        <v>1</v>
      </c>
      <c r="C231" s="48" t="s">
        <v>372</v>
      </c>
      <c r="D231" s="15" t="s">
        <v>79</v>
      </c>
      <c r="E231" s="15" t="s">
        <v>80</v>
      </c>
      <c r="F231" s="15">
        <v>3663</v>
      </c>
      <c r="G231" s="15">
        <v>17</v>
      </c>
      <c r="H231" s="15">
        <v>295</v>
      </c>
      <c r="I231" s="15">
        <v>51282</v>
      </c>
      <c r="J231" s="90">
        <v>50567</v>
      </c>
      <c r="K231" s="90">
        <v>84</v>
      </c>
      <c r="L231" s="90" t="s">
        <v>82</v>
      </c>
      <c r="M231" s="90" t="s">
        <v>81</v>
      </c>
      <c r="N231" s="90" t="s">
        <v>666</v>
      </c>
      <c r="O231" s="91">
        <f>(SUM(Table1[[#This Row],[Likes]],Table1[[#This Row],[Shares]],Table1[[#This Row],[Comments]])/Table1[[#This Row],[Impressions]] )</f>
        <v>7.7512577512577507E-2</v>
      </c>
      <c r="P231" s="90" t="s">
        <v>81</v>
      </c>
      <c r="Q231" s="90">
        <f t="shared" si="3"/>
        <v>396</v>
      </c>
    </row>
    <row r="232" spans="1:17" ht="14.25" customHeight="1" x14ac:dyDescent="0.3">
      <c r="A232" s="15" t="s">
        <v>511</v>
      </c>
      <c r="B232" s="15" t="s">
        <v>2</v>
      </c>
      <c r="C232" s="48" t="s">
        <v>487</v>
      </c>
      <c r="D232" s="15" t="s">
        <v>85</v>
      </c>
      <c r="E232" s="15" t="s">
        <v>86</v>
      </c>
      <c r="F232" s="15">
        <v>1430</v>
      </c>
      <c r="G232" s="15">
        <v>376</v>
      </c>
      <c r="H232" s="15">
        <v>33</v>
      </c>
      <c r="I232" s="15">
        <v>21450</v>
      </c>
      <c r="J232" s="90">
        <v>20509</v>
      </c>
      <c r="K232" s="90">
        <v>251</v>
      </c>
      <c r="L232" s="90" t="s">
        <v>99</v>
      </c>
      <c r="M232" s="90" t="s">
        <v>137</v>
      </c>
      <c r="N232" s="90" t="s">
        <v>666</v>
      </c>
      <c r="O232" s="91">
        <f>(SUM(Table1[[#This Row],[Likes]],Table1[[#This Row],[Shares]],Table1[[#This Row],[Comments]])/Table1[[#This Row],[Impressions]] )</f>
        <v>8.5734265734265735E-2</v>
      </c>
      <c r="P232" s="90" t="s">
        <v>137</v>
      </c>
      <c r="Q232" s="90">
        <f t="shared" si="3"/>
        <v>660</v>
      </c>
    </row>
    <row r="233" spans="1:17" ht="14.25" customHeight="1" x14ac:dyDescent="0.3">
      <c r="A233" s="15" t="s">
        <v>512</v>
      </c>
      <c r="B233" s="15" t="s">
        <v>3</v>
      </c>
      <c r="C233" s="48" t="s">
        <v>513</v>
      </c>
      <c r="D233" s="15" t="s">
        <v>94</v>
      </c>
      <c r="E233" s="15" t="s">
        <v>95</v>
      </c>
      <c r="F233" s="15">
        <v>249</v>
      </c>
      <c r="G233" s="15">
        <v>592</v>
      </c>
      <c r="H233" s="15">
        <v>230</v>
      </c>
      <c r="I233" s="15">
        <v>1494</v>
      </c>
      <c r="J233" s="90">
        <v>1044</v>
      </c>
      <c r="K233" s="90">
        <v>201</v>
      </c>
      <c r="L233" s="90" t="s">
        <v>115</v>
      </c>
      <c r="M233" s="90" t="s">
        <v>87</v>
      </c>
      <c r="N233" s="90" t="s">
        <v>104</v>
      </c>
      <c r="O233" s="91">
        <f>(SUM(Table1[[#This Row],[Likes]],Table1[[#This Row],[Shares]],Table1[[#This Row],[Comments]])/Table1[[#This Row],[Impressions]] )</f>
        <v>0.7168674698795181</v>
      </c>
      <c r="P233" s="90" t="s">
        <v>345</v>
      </c>
      <c r="Q233" s="90">
        <f t="shared" si="3"/>
        <v>1023</v>
      </c>
    </row>
    <row r="234" spans="1:17" ht="14.25" customHeight="1" x14ac:dyDescent="0.3">
      <c r="A234" s="15" t="s">
        <v>514</v>
      </c>
      <c r="B234" s="15" t="s">
        <v>1</v>
      </c>
      <c r="C234" s="48" t="s">
        <v>191</v>
      </c>
      <c r="D234" s="15" t="s">
        <v>109</v>
      </c>
      <c r="E234" s="15" t="s">
        <v>110</v>
      </c>
      <c r="F234" s="15">
        <v>2382</v>
      </c>
      <c r="G234" s="15">
        <v>265</v>
      </c>
      <c r="H234" s="15">
        <v>134</v>
      </c>
      <c r="I234" s="15">
        <v>38112</v>
      </c>
      <c r="J234" s="90">
        <v>37437</v>
      </c>
      <c r="K234" s="90">
        <v>249</v>
      </c>
      <c r="L234" s="90" t="s">
        <v>88</v>
      </c>
      <c r="M234" s="90" t="s">
        <v>137</v>
      </c>
      <c r="N234" s="90" t="s">
        <v>104</v>
      </c>
      <c r="O234" s="91">
        <f>(SUM(Table1[[#This Row],[Likes]],Table1[[#This Row],[Shares]],Table1[[#This Row],[Comments]])/Table1[[#This Row],[Impressions]] )</f>
        <v>7.2969143576826198E-2</v>
      </c>
      <c r="P234" s="90" t="s">
        <v>238</v>
      </c>
      <c r="Q234" s="90">
        <f t="shared" si="3"/>
        <v>648</v>
      </c>
    </row>
    <row r="235" spans="1:17" ht="14.25" customHeight="1" x14ac:dyDescent="0.3">
      <c r="A235" s="15" t="s">
        <v>515</v>
      </c>
      <c r="B235" s="15" t="s">
        <v>1</v>
      </c>
      <c r="C235" s="48" t="s">
        <v>516</v>
      </c>
      <c r="D235" s="15" t="s">
        <v>85</v>
      </c>
      <c r="E235" s="15" t="s">
        <v>86</v>
      </c>
      <c r="F235" s="15">
        <v>1272</v>
      </c>
      <c r="G235" s="15">
        <v>465</v>
      </c>
      <c r="H235" s="15">
        <v>99</v>
      </c>
      <c r="I235" s="15">
        <v>24168</v>
      </c>
      <c r="J235" s="90">
        <v>23719</v>
      </c>
      <c r="K235" s="90">
        <v>42</v>
      </c>
      <c r="L235" s="90" t="s">
        <v>88</v>
      </c>
      <c r="M235" s="90" t="s">
        <v>87</v>
      </c>
      <c r="N235" s="90" t="s">
        <v>137</v>
      </c>
      <c r="O235" s="91">
        <f>(SUM(Table1[[#This Row],[Likes]],Table1[[#This Row],[Shares]],Table1[[#This Row],[Comments]])/Table1[[#This Row],[Impressions]] )</f>
        <v>7.5968222442899705E-2</v>
      </c>
      <c r="P235" s="90" t="s">
        <v>131</v>
      </c>
      <c r="Q235" s="90">
        <f t="shared" si="3"/>
        <v>606</v>
      </c>
    </row>
    <row r="236" spans="1:17" ht="14.25" customHeight="1" x14ac:dyDescent="0.3">
      <c r="A236" s="15" t="s">
        <v>517</v>
      </c>
      <c r="B236" s="15" t="s">
        <v>1</v>
      </c>
      <c r="C236" s="48" t="s">
        <v>447</v>
      </c>
      <c r="D236" s="15" t="s">
        <v>109</v>
      </c>
      <c r="E236" s="15" t="s">
        <v>110</v>
      </c>
      <c r="F236" s="15">
        <v>3196</v>
      </c>
      <c r="G236" s="15">
        <v>941</v>
      </c>
      <c r="H236" s="15">
        <v>376</v>
      </c>
      <c r="I236" s="15">
        <v>35156</v>
      </c>
      <c r="J236" s="90">
        <v>34444</v>
      </c>
      <c r="K236" s="90">
        <v>241</v>
      </c>
      <c r="L236" s="90" t="s">
        <v>115</v>
      </c>
      <c r="M236" s="90" t="s">
        <v>118</v>
      </c>
      <c r="N236" s="90" t="s">
        <v>104</v>
      </c>
      <c r="O236" s="91">
        <f>(SUM(Table1[[#This Row],[Likes]],Table1[[#This Row],[Shares]],Table1[[#This Row],[Comments]])/Table1[[#This Row],[Impressions]] )</f>
        <v>0.1283706906360223</v>
      </c>
      <c r="P236" s="90" t="s">
        <v>147</v>
      </c>
      <c r="Q236" s="90">
        <f t="shared" si="3"/>
        <v>1558</v>
      </c>
    </row>
    <row r="237" spans="1:17" ht="14.25" customHeight="1" x14ac:dyDescent="0.3">
      <c r="A237" s="15" t="s">
        <v>518</v>
      </c>
      <c r="B237" s="15" t="s">
        <v>1</v>
      </c>
      <c r="C237" s="48" t="s">
        <v>139</v>
      </c>
      <c r="D237" s="15" t="s">
        <v>85</v>
      </c>
      <c r="E237" s="15" t="s">
        <v>86</v>
      </c>
      <c r="F237" s="15">
        <v>1257</v>
      </c>
      <c r="G237" s="15">
        <v>19</v>
      </c>
      <c r="H237" s="15">
        <v>351</v>
      </c>
      <c r="I237" s="15">
        <v>12570</v>
      </c>
      <c r="J237" s="90">
        <v>11660</v>
      </c>
      <c r="K237" s="90">
        <v>194</v>
      </c>
      <c r="L237" s="90" t="s">
        <v>82</v>
      </c>
      <c r="M237" s="90" t="s">
        <v>118</v>
      </c>
      <c r="N237" s="90" t="s">
        <v>666</v>
      </c>
      <c r="O237" s="91">
        <f>(SUM(Table1[[#This Row],[Likes]],Table1[[#This Row],[Shares]],Table1[[#This Row],[Comments]])/Table1[[#This Row],[Impressions]] )</f>
        <v>0.12943516308671441</v>
      </c>
      <c r="P237" s="90" t="s">
        <v>118</v>
      </c>
      <c r="Q237" s="90">
        <f t="shared" si="3"/>
        <v>564</v>
      </c>
    </row>
    <row r="238" spans="1:17" ht="14.25" customHeight="1" x14ac:dyDescent="0.3">
      <c r="A238" s="15" t="s">
        <v>519</v>
      </c>
      <c r="B238" s="15" t="s">
        <v>2</v>
      </c>
      <c r="C238" s="48" t="s">
        <v>396</v>
      </c>
      <c r="D238" s="15" t="s">
        <v>94</v>
      </c>
      <c r="E238" s="15" t="s">
        <v>95</v>
      </c>
      <c r="F238" s="15">
        <v>3770</v>
      </c>
      <c r="G238" s="15">
        <v>917</v>
      </c>
      <c r="H238" s="15">
        <v>129</v>
      </c>
      <c r="I238" s="15">
        <v>71630</v>
      </c>
      <c r="J238" s="90">
        <v>71322</v>
      </c>
      <c r="K238" s="90">
        <v>76</v>
      </c>
      <c r="L238" s="90" t="s">
        <v>115</v>
      </c>
      <c r="M238" s="90" t="s">
        <v>81</v>
      </c>
      <c r="N238" s="90" t="s">
        <v>104</v>
      </c>
      <c r="O238" s="91">
        <f>(SUM(Table1[[#This Row],[Likes]],Table1[[#This Row],[Shares]],Table1[[#This Row],[Comments]])/Table1[[#This Row],[Impressions]] )</f>
        <v>6.7234398994834563E-2</v>
      </c>
      <c r="P238" s="90" t="s">
        <v>162</v>
      </c>
      <c r="Q238" s="90">
        <f t="shared" si="3"/>
        <v>1122</v>
      </c>
    </row>
    <row r="239" spans="1:17" ht="14.25" customHeight="1" x14ac:dyDescent="0.3">
      <c r="A239" s="15" t="s">
        <v>520</v>
      </c>
      <c r="B239" s="15" t="s">
        <v>3</v>
      </c>
      <c r="C239" s="48" t="s">
        <v>521</v>
      </c>
      <c r="D239" s="15" t="s">
        <v>85</v>
      </c>
      <c r="E239" s="15" t="s">
        <v>86</v>
      </c>
      <c r="F239" s="15">
        <v>4725</v>
      </c>
      <c r="G239" s="15">
        <v>400</v>
      </c>
      <c r="H239" s="15">
        <v>362</v>
      </c>
      <c r="I239" s="15">
        <v>75600</v>
      </c>
      <c r="J239" s="90">
        <v>74927</v>
      </c>
      <c r="K239" s="90">
        <v>43</v>
      </c>
      <c r="L239" s="90" t="s">
        <v>82</v>
      </c>
      <c r="M239" s="90" t="s">
        <v>104</v>
      </c>
      <c r="N239" s="90" t="s">
        <v>87</v>
      </c>
      <c r="O239" s="91">
        <f>(SUM(Table1[[#This Row],[Likes]],Table1[[#This Row],[Shares]],Table1[[#This Row],[Comments]])/Table1[[#This Row],[Impressions]] )</f>
        <v>7.2579365079365077E-2</v>
      </c>
      <c r="P239" s="90" t="s">
        <v>165</v>
      </c>
      <c r="Q239" s="90">
        <f t="shared" si="3"/>
        <v>805</v>
      </c>
    </row>
    <row r="240" spans="1:17" ht="14.25" customHeight="1" x14ac:dyDescent="0.3">
      <c r="A240" s="15" t="s">
        <v>522</v>
      </c>
      <c r="B240" s="15" t="s">
        <v>4</v>
      </c>
      <c r="C240" s="48" t="s">
        <v>203</v>
      </c>
      <c r="D240" s="15" t="s">
        <v>85</v>
      </c>
      <c r="E240" s="15" t="s">
        <v>86</v>
      </c>
      <c r="F240" s="15">
        <v>4188</v>
      </c>
      <c r="G240" s="15">
        <v>942</v>
      </c>
      <c r="H240" s="15">
        <v>118</v>
      </c>
      <c r="I240" s="15">
        <v>20940</v>
      </c>
      <c r="J240" s="90">
        <v>20471</v>
      </c>
      <c r="K240" s="90">
        <v>102</v>
      </c>
      <c r="L240" s="90" t="s">
        <v>88</v>
      </c>
      <c r="M240" s="90" t="s">
        <v>118</v>
      </c>
      <c r="N240" s="90" t="s">
        <v>666</v>
      </c>
      <c r="O240" s="91">
        <f>(SUM(Table1[[#This Row],[Likes]],Table1[[#This Row],[Shares]],Table1[[#This Row],[Comments]])/Table1[[#This Row],[Impressions]] )</f>
        <v>0.25062082139446035</v>
      </c>
      <c r="P240" s="90" t="s">
        <v>118</v>
      </c>
      <c r="Q240" s="90">
        <f t="shared" si="3"/>
        <v>1162</v>
      </c>
    </row>
    <row r="241" spans="1:17" ht="14.25" customHeight="1" x14ac:dyDescent="0.3">
      <c r="A241" s="15" t="s">
        <v>523</v>
      </c>
      <c r="B241" s="15" t="s">
        <v>3</v>
      </c>
      <c r="C241" s="48" t="s">
        <v>133</v>
      </c>
      <c r="D241" s="15" t="s">
        <v>102</v>
      </c>
      <c r="E241" s="15" t="s">
        <v>103</v>
      </c>
      <c r="F241" s="15">
        <v>929</v>
      </c>
      <c r="G241" s="15">
        <v>192</v>
      </c>
      <c r="H241" s="15">
        <v>322</v>
      </c>
      <c r="I241" s="15">
        <v>16722</v>
      </c>
      <c r="J241" s="90">
        <v>15996</v>
      </c>
      <c r="K241" s="90">
        <v>145</v>
      </c>
      <c r="L241" s="90" t="s">
        <v>99</v>
      </c>
      <c r="M241" s="90" t="s">
        <v>87</v>
      </c>
      <c r="N241" s="90" t="s">
        <v>666</v>
      </c>
      <c r="O241" s="91">
        <f>(SUM(Table1[[#This Row],[Likes]],Table1[[#This Row],[Shares]],Table1[[#This Row],[Comments]])/Table1[[#This Row],[Impressions]] )</f>
        <v>8.6293505561535699E-2</v>
      </c>
      <c r="P241" s="90" t="s">
        <v>87</v>
      </c>
      <c r="Q241" s="90">
        <f t="shared" si="3"/>
        <v>659</v>
      </c>
    </row>
    <row r="242" spans="1:17" ht="14.25" customHeight="1" x14ac:dyDescent="0.3">
      <c r="A242" s="15" t="s">
        <v>524</v>
      </c>
      <c r="B242" s="15" t="s">
        <v>1</v>
      </c>
      <c r="C242" s="48" t="s">
        <v>525</v>
      </c>
      <c r="D242" s="15" t="s">
        <v>94</v>
      </c>
      <c r="E242" s="15" t="s">
        <v>95</v>
      </c>
      <c r="F242" s="15">
        <v>4321</v>
      </c>
      <c r="G242" s="15">
        <v>874</v>
      </c>
      <c r="H242" s="15">
        <v>172</v>
      </c>
      <c r="I242" s="15">
        <v>30247</v>
      </c>
      <c r="J242" s="90">
        <v>29254</v>
      </c>
      <c r="K242" s="90">
        <v>122</v>
      </c>
      <c r="L242" s="90" t="s">
        <v>99</v>
      </c>
      <c r="M242" s="90" t="s">
        <v>81</v>
      </c>
      <c r="N242" s="90" t="s">
        <v>87</v>
      </c>
      <c r="O242" s="91">
        <f>(SUM(Table1[[#This Row],[Likes]],Table1[[#This Row],[Shares]],Table1[[#This Row],[Comments]])/Table1[[#This Row],[Impressions]] )</f>
        <v>0.17743908486792079</v>
      </c>
      <c r="P242" s="90" t="s">
        <v>126</v>
      </c>
      <c r="Q242" s="90">
        <f t="shared" si="3"/>
        <v>1168</v>
      </c>
    </row>
    <row r="243" spans="1:17" ht="14.25" customHeight="1" x14ac:dyDescent="0.3">
      <c r="A243" s="15" t="s">
        <v>526</v>
      </c>
      <c r="B243" s="15" t="s">
        <v>1</v>
      </c>
      <c r="C243" s="48" t="s">
        <v>283</v>
      </c>
      <c r="D243" s="15" t="s">
        <v>79</v>
      </c>
      <c r="E243" s="15" t="s">
        <v>80</v>
      </c>
      <c r="F243" s="15">
        <v>4767</v>
      </c>
      <c r="G243" s="15">
        <v>190</v>
      </c>
      <c r="H243" s="15">
        <v>340</v>
      </c>
      <c r="I243" s="15">
        <v>28602</v>
      </c>
      <c r="J243" s="90">
        <v>28044</v>
      </c>
      <c r="K243" s="90">
        <v>210</v>
      </c>
      <c r="L243" s="90" t="s">
        <v>115</v>
      </c>
      <c r="M243" s="90" t="s">
        <v>137</v>
      </c>
      <c r="N243" s="90" t="s">
        <v>666</v>
      </c>
      <c r="O243" s="91">
        <f>(SUM(Table1[[#This Row],[Likes]],Table1[[#This Row],[Shares]],Table1[[#This Row],[Comments]])/Table1[[#This Row],[Impressions]] )</f>
        <v>0.18519683938186141</v>
      </c>
      <c r="P243" s="90" t="s">
        <v>137</v>
      </c>
      <c r="Q243" s="90">
        <f t="shared" si="3"/>
        <v>740</v>
      </c>
    </row>
    <row r="244" spans="1:17" ht="14.25" customHeight="1" x14ac:dyDescent="0.3">
      <c r="A244" s="15" t="s">
        <v>527</v>
      </c>
      <c r="B244" s="15" t="s">
        <v>3</v>
      </c>
      <c r="C244" s="48" t="s">
        <v>528</v>
      </c>
      <c r="D244" s="15" t="s">
        <v>109</v>
      </c>
      <c r="E244" s="15" t="s">
        <v>110</v>
      </c>
      <c r="F244" s="15">
        <v>3592</v>
      </c>
      <c r="G244" s="15">
        <v>911</v>
      </c>
      <c r="H244" s="15">
        <v>375</v>
      </c>
      <c r="I244" s="15">
        <v>50288</v>
      </c>
      <c r="J244" s="90">
        <v>49490</v>
      </c>
      <c r="K244" s="90">
        <v>32</v>
      </c>
      <c r="L244" s="90" t="s">
        <v>88</v>
      </c>
      <c r="M244" s="90" t="s">
        <v>118</v>
      </c>
      <c r="N244" s="90" t="s">
        <v>666</v>
      </c>
      <c r="O244" s="91">
        <f>(SUM(Table1[[#This Row],[Likes]],Table1[[#This Row],[Shares]],Table1[[#This Row],[Comments]])/Table1[[#This Row],[Impressions]] )</f>
        <v>9.7001272669424113E-2</v>
      </c>
      <c r="P244" s="90" t="s">
        <v>118</v>
      </c>
      <c r="Q244" s="90">
        <f t="shared" si="3"/>
        <v>1318</v>
      </c>
    </row>
    <row r="245" spans="1:17" ht="14.25" customHeight="1" x14ac:dyDescent="0.3">
      <c r="A245" s="15" t="s">
        <v>529</v>
      </c>
      <c r="B245" s="15" t="s">
        <v>4</v>
      </c>
      <c r="C245" s="48" t="s">
        <v>530</v>
      </c>
      <c r="D245" s="15" t="s">
        <v>129</v>
      </c>
      <c r="E245" s="15" t="s">
        <v>130</v>
      </c>
      <c r="F245" s="15">
        <v>4661</v>
      </c>
      <c r="G245" s="15">
        <v>935</v>
      </c>
      <c r="H245" s="15">
        <v>433</v>
      </c>
      <c r="I245" s="15">
        <v>23305</v>
      </c>
      <c r="J245" s="90">
        <v>22583</v>
      </c>
      <c r="K245" s="90">
        <v>63</v>
      </c>
      <c r="L245" s="90" t="s">
        <v>82</v>
      </c>
      <c r="M245" s="90" t="s">
        <v>118</v>
      </c>
      <c r="N245" s="90" t="s">
        <v>137</v>
      </c>
      <c r="O245" s="91">
        <f>(SUM(Table1[[#This Row],[Likes]],Table1[[#This Row],[Shares]],Table1[[#This Row],[Comments]])/Table1[[#This Row],[Impressions]] )</f>
        <v>0.25869984981763572</v>
      </c>
      <c r="P245" s="90" t="s">
        <v>222</v>
      </c>
      <c r="Q245" s="90">
        <f t="shared" si="3"/>
        <v>1431</v>
      </c>
    </row>
    <row r="246" spans="1:17" ht="14.25" customHeight="1" x14ac:dyDescent="0.3">
      <c r="A246" s="15" t="s">
        <v>531</v>
      </c>
      <c r="B246" s="15" t="s">
        <v>1</v>
      </c>
      <c r="C246" s="48" t="s">
        <v>532</v>
      </c>
      <c r="D246" s="15" t="s">
        <v>79</v>
      </c>
      <c r="E246" s="15" t="s">
        <v>80</v>
      </c>
      <c r="F246" s="15">
        <v>4134</v>
      </c>
      <c r="G246" s="15">
        <v>824</v>
      </c>
      <c r="H246" s="15">
        <v>99</v>
      </c>
      <c r="I246" s="15">
        <v>41340</v>
      </c>
      <c r="J246" s="90">
        <v>41050</v>
      </c>
      <c r="K246" s="90">
        <v>177</v>
      </c>
      <c r="L246" s="90" t="s">
        <v>88</v>
      </c>
      <c r="M246" s="90" t="s">
        <v>87</v>
      </c>
      <c r="N246" s="90" t="s">
        <v>666</v>
      </c>
      <c r="O246" s="91">
        <f>(SUM(Table1[[#This Row],[Likes]],Table1[[#This Row],[Shares]],Table1[[#This Row],[Comments]])/Table1[[#This Row],[Impressions]] )</f>
        <v>0.12232704402515723</v>
      </c>
      <c r="P246" s="90" t="s">
        <v>87</v>
      </c>
      <c r="Q246" s="90">
        <f t="shared" si="3"/>
        <v>1100</v>
      </c>
    </row>
    <row r="247" spans="1:17" ht="14.25" customHeight="1" x14ac:dyDescent="0.3">
      <c r="A247" s="15" t="s">
        <v>533</v>
      </c>
      <c r="B247" s="15" t="s">
        <v>1</v>
      </c>
      <c r="C247" s="48" t="s">
        <v>534</v>
      </c>
      <c r="D247" s="15" t="s">
        <v>109</v>
      </c>
      <c r="E247" s="15" t="s">
        <v>110</v>
      </c>
      <c r="F247" s="15">
        <v>400</v>
      </c>
      <c r="G247" s="15">
        <v>680</v>
      </c>
      <c r="H247" s="15">
        <v>434</v>
      </c>
      <c r="I247" s="15">
        <v>6400</v>
      </c>
      <c r="J247" s="90">
        <v>5472</v>
      </c>
      <c r="K247" s="90">
        <v>160</v>
      </c>
      <c r="L247" s="90" t="s">
        <v>88</v>
      </c>
      <c r="M247" s="90" t="s">
        <v>81</v>
      </c>
      <c r="N247" s="90" t="s">
        <v>104</v>
      </c>
      <c r="O247" s="91">
        <f>(SUM(Table1[[#This Row],[Likes]],Table1[[#This Row],[Shares]],Table1[[#This Row],[Comments]])/Table1[[#This Row],[Impressions]] )</f>
        <v>0.23656250000000001</v>
      </c>
      <c r="P247" s="90" t="s">
        <v>162</v>
      </c>
      <c r="Q247" s="90">
        <f t="shared" si="3"/>
        <v>1274</v>
      </c>
    </row>
    <row r="248" spans="1:17" ht="14.25" customHeight="1" x14ac:dyDescent="0.3">
      <c r="A248" s="15" t="s">
        <v>535</v>
      </c>
      <c r="B248" s="15" t="s">
        <v>1</v>
      </c>
      <c r="C248" s="48" t="s">
        <v>536</v>
      </c>
      <c r="D248" s="15" t="s">
        <v>79</v>
      </c>
      <c r="E248" s="15" t="s">
        <v>80</v>
      </c>
      <c r="F248" s="15">
        <v>3960</v>
      </c>
      <c r="G248" s="15">
        <v>266</v>
      </c>
      <c r="H248" s="15">
        <v>8</v>
      </c>
      <c r="I248" s="15">
        <v>35640</v>
      </c>
      <c r="J248" s="90">
        <v>34850</v>
      </c>
      <c r="K248" s="90">
        <v>208</v>
      </c>
      <c r="L248" s="90" t="s">
        <v>115</v>
      </c>
      <c r="M248" s="90" t="s">
        <v>104</v>
      </c>
      <c r="N248" s="90" t="s">
        <v>87</v>
      </c>
      <c r="O248" s="91">
        <f>(SUM(Table1[[#This Row],[Likes]],Table1[[#This Row],[Shares]],Table1[[#This Row],[Comments]])/Table1[[#This Row],[Impressions]] )</f>
        <v>0.11879910213243547</v>
      </c>
      <c r="P248" s="90" t="s">
        <v>165</v>
      </c>
      <c r="Q248" s="90">
        <f t="shared" si="3"/>
        <v>482</v>
      </c>
    </row>
    <row r="249" spans="1:17" ht="14.25" customHeight="1" x14ac:dyDescent="0.3">
      <c r="A249" s="15" t="s">
        <v>537</v>
      </c>
      <c r="B249" s="15" t="s">
        <v>1</v>
      </c>
      <c r="C249" s="48" t="s">
        <v>117</v>
      </c>
      <c r="D249" s="15" t="s">
        <v>94</v>
      </c>
      <c r="E249" s="15" t="s">
        <v>95</v>
      </c>
      <c r="F249" s="15">
        <v>886</v>
      </c>
      <c r="G249" s="15">
        <v>126</v>
      </c>
      <c r="H249" s="15">
        <v>153</v>
      </c>
      <c r="I249" s="15">
        <v>4430</v>
      </c>
      <c r="J249" s="90">
        <v>4037</v>
      </c>
      <c r="K249" s="90">
        <v>212</v>
      </c>
      <c r="L249" s="90" t="s">
        <v>99</v>
      </c>
      <c r="M249" s="90" t="s">
        <v>81</v>
      </c>
      <c r="N249" s="90" t="s">
        <v>666</v>
      </c>
      <c r="O249" s="91">
        <f>(SUM(Table1[[#This Row],[Likes]],Table1[[#This Row],[Shares]],Table1[[#This Row],[Comments]])/Table1[[#This Row],[Impressions]] )</f>
        <v>0.26297968397291194</v>
      </c>
      <c r="P249" s="90" t="s">
        <v>81</v>
      </c>
      <c r="Q249" s="90">
        <f t="shared" si="3"/>
        <v>491</v>
      </c>
    </row>
    <row r="250" spans="1:17" ht="14.25" customHeight="1" x14ac:dyDescent="0.3">
      <c r="A250" s="15" t="s">
        <v>538</v>
      </c>
      <c r="B250" s="15" t="s">
        <v>3</v>
      </c>
      <c r="C250" s="48" t="s">
        <v>484</v>
      </c>
      <c r="D250" s="15" t="s">
        <v>109</v>
      </c>
      <c r="E250" s="15" t="s">
        <v>110</v>
      </c>
      <c r="F250" s="15">
        <v>827</v>
      </c>
      <c r="G250" s="15">
        <v>77</v>
      </c>
      <c r="H250" s="15">
        <v>402</v>
      </c>
      <c r="I250" s="15">
        <v>14886</v>
      </c>
      <c r="J250" s="90">
        <v>14129</v>
      </c>
      <c r="K250" s="90">
        <v>254</v>
      </c>
      <c r="L250" s="90" t="s">
        <v>88</v>
      </c>
      <c r="M250" s="90" t="s">
        <v>118</v>
      </c>
      <c r="N250" s="90" t="s">
        <v>666</v>
      </c>
      <c r="O250" s="91">
        <f>(SUM(Table1[[#This Row],[Likes]],Table1[[#This Row],[Shares]],Table1[[#This Row],[Comments]])/Table1[[#This Row],[Impressions]] )</f>
        <v>8.7733440816874911E-2</v>
      </c>
      <c r="P250" s="90" t="s">
        <v>118</v>
      </c>
      <c r="Q250" s="90">
        <f t="shared" si="3"/>
        <v>733</v>
      </c>
    </row>
    <row r="251" spans="1:17" ht="14.25" customHeight="1" x14ac:dyDescent="0.3">
      <c r="A251" s="15" t="s">
        <v>539</v>
      </c>
      <c r="B251" s="15" t="s">
        <v>1</v>
      </c>
      <c r="C251" s="48" t="s">
        <v>228</v>
      </c>
      <c r="D251" s="15" t="s">
        <v>79</v>
      </c>
      <c r="E251" s="15" t="s">
        <v>80</v>
      </c>
      <c r="F251" s="15">
        <v>3813</v>
      </c>
      <c r="G251" s="15">
        <v>935</v>
      </c>
      <c r="H251" s="15">
        <v>274</v>
      </c>
      <c r="I251" s="15">
        <v>68634</v>
      </c>
      <c r="J251" s="90">
        <v>68488</v>
      </c>
      <c r="K251" s="90">
        <v>251</v>
      </c>
      <c r="L251" s="90" t="s">
        <v>82</v>
      </c>
      <c r="M251" s="90" t="s">
        <v>137</v>
      </c>
      <c r="N251" s="90" t="s">
        <v>104</v>
      </c>
      <c r="O251" s="91">
        <f>(SUM(Table1[[#This Row],[Likes]],Table1[[#This Row],[Shares]],Table1[[#This Row],[Comments]])/Table1[[#This Row],[Impressions]] )</f>
        <v>7.3170731707317069E-2</v>
      </c>
      <c r="P251" s="90" t="s">
        <v>238</v>
      </c>
      <c r="Q251" s="90">
        <f t="shared" si="3"/>
        <v>1460</v>
      </c>
    </row>
    <row r="252" spans="1:17" ht="14.25" customHeight="1" x14ac:dyDescent="0.3">
      <c r="A252" s="15" t="s">
        <v>540</v>
      </c>
      <c r="B252" s="15" t="s">
        <v>2</v>
      </c>
      <c r="C252" s="48" t="s">
        <v>541</v>
      </c>
      <c r="D252" s="15" t="s">
        <v>102</v>
      </c>
      <c r="E252" s="15" t="s">
        <v>103</v>
      </c>
      <c r="F252" s="15">
        <v>1377</v>
      </c>
      <c r="G252" s="15">
        <v>796</v>
      </c>
      <c r="H252" s="15">
        <v>387</v>
      </c>
      <c r="I252" s="15">
        <v>22032</v>
      </c>
      <c r="J252" s="90">
        <v>21869</v>
      </c>
      <c r="K252" s="90">
        <v>189</v>
      </c>
      <c r="L252" s="90" t="s">
        <v>99</v>
      </c>
      <c r="M252" s="90" t="s">
        <v>137</v>
      </c>
      <c r="N252" s="90" t="s">
        <v>87</v>
      </c>
      <c r="O252" s="91">
        <f>(SUM(Table1[[#This Row],[Likes]],Table1[[#This Row],[Shares]],Table1[[#This Row],[Comments]])/Table1[[#This Row],[Impressions]] )</f>
        <v>0.11619462599854757</v>
      </c>
      <c r="P252" s="90" t="s">
        <v>204</v>
      </c>
      <c r="Q252" s="90">
        <f t="shared" si="3"/>
        <v>1372</v>
      </c>
    </row>
    <row r="253" spans="1:17" ht="14.25" customHeight="1" x14ac:dyDescent="0.3">
      <c r="A253" s="15" t="s">
        <v>542</v>
      </c>
      <c r="B253" s="15" t="s">
        <v>1</v>
      </c>
      <c r="C253" s="48" t="s">
        <v>419</v>
      </c>
      <c r="D253" s="15" t="s">
        <v>102</v>
      </c>
      <c r="E253" s="15" t="s">
        <v>103</v>
      </c>
      <c r="F253" s="15">
        <v>2089</v>
      </c>
      <c r="G253" s="15">
        <v>476</v>
      </c>
      <c r="H253" s="15">
        <v>69</v>
      </c>
      <c r="I253" s="15">
        <v>16712</v>
      </c>
      <c r="J253" s="90">
        <v>16309</v>
      </c>
      <c r="K253" s="90">
        <v>64</v>
      </c>
      <c r="L253" s="90" t="s">
        <v>82</v>
      </c>
      <c r="M253" s="90" t="s">
        <v>118</v>
      </c>
      <c r="N253" s="90" t="s">
        <v>81</v>
      </c>
      <c r="O253" s="91">
        <f>(SUM(Table1[[#This Row],[Likes]],Table1[[#This Row],[Shares]],Table1[[#This Row],[Comments]])/Table1[[#This Row],[Impressions]] )</f>
        <v>0.15761129727142173</v>
      </c>
      <c r="P253" s="90" t="s">
        <v>121</v>
      </c>
      <c r="Q253" s="90">
        <f t="shared" si="3"/>
        <v>609</v>
      </c>
    </row>
    <row r="254" spans="1:17" ht="14.25" customHeight="1" x14ac:dyDescent="0.3">
      <c r="A254" s="15" t="s">
        <v>543</v>
      </c>
      <c r="B254" s="15" t="s">
        <v>3</v>
      </c>
      <c r="C254" s="48" t="s">
        <v>544</v>
      </c>
      <c r="D254" s="15" t="s">
        <v>79</v>
      </c>
      <c r="E254" s="15" t="s">
        <v>80</v>
      </c>
      <c r="F254" s="15">
        <v>3791</v>
      </c>
      <c r="G254" s="15">
        <v>593</v>
      </c>
      <c r="H254" s="15">
        <v>228</v>
      </c>
      <c r="I254" s="15">
        <v>53074</v>
      </c>
      <c r="J254" s="90">
        <v>52613</v>
      </c>
      <c r="K254" s="90">
        <v>205</v>
      </c>
      <c r="L254" s="90" t="s">
        <v>82</v>
      </c>
      <c r="M254" s="90" t="s">
        <v>118</v>
      </c>
      <c r="N254" s="90" t="s">
        <v>137</v>
      </c>
      <c r="O254" s="91">
        <f>(SUM(Table1[[#This Row],[Likes]],Table1[[#This Row],[Shares]],Table1[[#This Row],[Comments]])/Table1[[#This Row],[Impressions]] )</f>
        <v>8.6897539284772202E-2</v>
      </c>
      <c r="P254" s="90" t="s">
        <v>222</v>
      </c>
      <c r="Q254" s="90">
        <f t="shared" si="3"/>
        <v>1026</v>
      </c>
    </row>
    <row r="255" spans="1:17" ht="14.25" customHeight="1" x14ac:dyDescent="0.3">
      <c r="A255" s="15" t="s">
        <v>545</v>
      </c>
      <c r="B255" s="15" t="s">
        <v>3</v>
      </c>
      <c r="C255" s="48" t="s">
        <v>546</v>
      </c>
      <c r="D255" s="15" t="s">
        <v>109</v>
      </c>
      <c r="E255" s="15" t="s">
        <v>110</v>
      </c>
      <c r="F255" s="15">
        <v>2692</v>
      </c>
      <c r="G255" s="15">
        <v>115</v>
      </c>
      <c r="H255" s="15">
        <v>64</v>
      </c>
      <c r="I255" s="15">
        <v>21536</v>
      </c>
      <c r="J255" s="90">
        <v>21120</v>
      </c>
      <c r="K255" s="90">
        <v>224</v>
      </c>
      <c r="L255" s="90" t="s">
        <v>115</v>
      </c>
      <c r="M255" s="90" t="s">
        <v>137</v>
      </c>
      <c r="N255" s="90" t="s">
        <v>104</v>
      </c>
      <c r="O255" s="91">
        <f>(SUM(Table1[[#This Row],[Likes]],Table1[[#This Row],[Shares]],Table1[[#This Row],[Comments]])/Table1[[#This Row],[Impressions]] )</f>
        <v>0.13331166419019316</v>
      </c>
      <c r="P255" s="90" t="s">
        <v>238</v>
      </c>
      <c r="Q255" s="90">
        <f t="shared" si="3"/>
        <v>403</v>
      </c>
    </row>
    <row r="256" spans="1:17" ht="14.25" customHeight="1" x14ac:dyDescent="0.3">
      <c r="A256" s="15" t="s">
        <v>547</v>
      </c>
      <c r="B256" s="15" t="s">
        <v>1</v>
      </c>
      <c r="C256" s="48" t="s">
        <v>84</v>
      </c>
      <c r="D256" s="15" t="s">
        <v>94</v>
      </c>
      <c r="E256" s="15" t="s">
        <v>95</v>
      </c>
      <c r="F256" s="15">
        <v>3767</v>
      </c>
      <c r="G256" s="15">
        <v>514</v>
      </c>
      <c r="H256" s="15">
        <v>238</v>
      </c>
      <c r="I256" s="15">
        <v>37670</v>
      </c>
      <c r="J256" s="90">
        <v>36807</v>
      </c>
      <c r="K256" s="90">
        <v>226</v>
      </c>
      <c r="L256" s="90" t="s">
        <v>82</v>
      </c>
      <c r="M256" s="90" t="s">
        <v>118</v>
      </c>
      <c r="N256" s="90" t="s">
        <v>137</v>
      </c>
      <c r="O256" s="91">
        <f>(SUM(Table1[[#This Row],[Likes]],Table1[[#This Row],[Shares]],Table1[[#This Row],[Comments]])/Table1[[#This Row],[Impressions]] )</f>
        <v>0.11996283514733209</v>
      </c>
      <c r="P256" s="90" t="s">
        <v>222</v>
      </c>
      <c r="Q256" s="90">
        <f t="shared" si="3"/>
        <v>978</v>
      </c>
    </row>
    <row r="257" spans="1:17" ht="14.25" customHeight="1" x14ac:dyDescent="0.3">
      <c r="A257" s="15" t="s">
        <v>548</v>
      </c>
      <c r="B257" s="15" t="s">
        <v>4</v>
      </c>
      <c r="C257" s="48" t="s">
        <v>307</v>
      </c>
      <c r="D257" s="15" t="s">
        <v>102</v>
      </c>
      <c r="E257" s="15" t="s">
        <v>103</v>
      </c>
      <c r="F257" s="15">
        <v>2143</v>
      </c>
      <c r="G257" s="15">
        <v>12</v>
      </c>
      <c r="H257" s="15">
        <v>204</v>
      </c>
      <c r="I257" s="15">
        <v>40717</v>
      </c>
      <c r="J257" s="90">
        <v>40125</v>
      </c>
      <c r="K257" s="90">
        <v>248</v>
      </c>
      <c r="L257" s="90" t="s">
        <v>115</v>
      </c>
      <c r="M257" s="90" t="s">
        <v>137</v>
      </c>
      <c r="N257" s="90" t="s">
        <v>81</v>
      </c>
      <c r="O257" s="91">
        <f>(SUM(Table1[[#This Row],[Likes]],Table1[[#This Row],[Shares]],Table1[[#This Row],[Comments]])/Table1[[#This Row],[Impressions]] )</f>
        <v>5.7936488444630008E-2</v>
      </c>
      <c r="P257" s="90" t="s">
        <v>187</v>
      </c>
      <c r="Q257" s="90">
        <f t="shared" si="3"/>
        <v>464</v>
      </c>
    </row>
    <row r="258" spans="1:17" ht="14.25" customHeight="1" x14ac:dyDescent="0.3">
      <c r="A258" s="15" t="s">
        <v>549</v>
      </c>
      <c r="B258" s="15" t="s">
        <v>1</v>
      </c>
      <c r="C258" s="48" t="s">
        <v>348</v>
      </c>
      <c r="D258" s="15" t="s">
        <v>109</v>
      </c>
      <c r="E258" s="15" t="s">
        <v>110</v>
      </c>
      <c r="F258" s="15">
        <v>3090</v>
      </c>
      <c r="G258" s="15">
        <v>697</v>
      </c>
      <c r="H258" s="15">
        <v>164</v>
      </c>
      <c r="I258" s="15">
        <v>49440</v>
      </c>
      <c r="J258" s="90">
        <v>48524</v>
      </c>
      <c r="K258" s="90">
        <v>25</v>
      </c>
      <c r="L258" s="90" t="s">
        <v>115</v>
      </c>
      <c r="M258" s="90" t="s">
        <v>137</v>
      </c>
      <c r="N258" s="90" t="s">
        <v>118</v>
      </c>
      <c r="O258" s="91">
        <f>(SUM(Table1[[#This Row],[Likes]],Table1[[#This Row],[Shares]],Table1[[#This Row],[Comments]])/Table1[[#This Row],[Impressions]] )</f>
        <v>7.9915048543689318E-2</v>
      </c>
      <c r="P258" s="90" t="s">
        <v>324</v>
      </c>
      <c r="Q258" s="90">
        <f t="shared" ref="Q258:Q301" si="4">SUM(G258,H258,K258)</f>
        <v>886</v>
      </c>
    </row>
    <row r="259" spans="1:17" ht="14.25" customHeight="1" x14ac:dyDescent="0.3">
      <c r="A259" s="15" t="s">
        <v>550</v>
      </c>
      <c r="B259" s="15" t="s">
        <v>2</v>
      </c>
      <c r="C259" s="48" t="s">
        <v>551</v>
      </c>
      <c r="D259" s="15" t="s">
        <v>94</v>
      </c>
      <c r="E259" s="15" t="s">
        <v>95</v>
      </c>
      <c r="F259" s="15">
        <v>3601</v>
      </c>
      <c r="G259" s="15">
        <v>695</v>
      </c>
      <c r="H259" s="15">
        <v>75</v>
      </c>
      <c r="I259" s="15">
        <v>21606</v>
      </c>
      <c r="J259" s="90">
        <v>21454</v>
      </c>
      <c r="K259" s="90">
        <v>172</v>
      </c>
      <c r="L259" s="90" t="s">
        <v>88</v>
      </c>
      <c r="M259" s="90" t="s">
        <v>118</v>
      </c>
      <c r="N259" s="90" t="s">
        <v>666</v>
      </c>
      <c r="O259" s="91">
        <f>(SUM(Table1[[#This Row],[Likes]],Table1[[#This Row],[Shares]],Table1[[#This Row],[Comments]])/Table1[[#This Row],[Impressions]] )</f>
        <v>0.2023049153013052</v>
      </c>
      <c r="P259" s="90" t="s">
        <v>118</v>
      </c>
      <c r="Q259" s="90">
        <f t="shared" si="4"/>
        <v>942</v>
      </c>
    </row>
    <row r="260" spans="1:17" ht="14.25" customHeight="1" x14ac:dyDescent="0.3">
      <c r="A260" s="15" t="s">
        <v>552</v>
      </c>
      <c r="B260" s="15" t="s">
        <v>1</v>
      </c>
      <c r="C260" s="48" t="s">
        <v>304</v>
      </c>
      <c r="D260" s="15" t="s">
        <v>85</v>
      </c>
      <c r="E260" s="15" t="s">
        <v>86</v>
      </c>
      <c r="F260" s="15">
        <v>562</v>
      </c>
      <c r="G260" s="15">
        <v>158</v>
      </c>
      <c r="H260" s="15">
        <v>149</v>
      </c>
      <c r="I260" s="15">
        <v>3372</v>
      </c>
      <c r="J260" s="90">
        <v>2940</v>
      </c>
      <c r="K260" s="90">
        <v>93</v>
      </c>
      <c r="L260" s="90" t="s">
        <v>115</v>
      </c>
      <c r="M260" s="90" t="s">
        <v>137</v>
      </c>
      <c r="N260" s="90" t="s">
        <v>81</v>
      </c>
      <c r="O260" s="91">
        <f>(SUM(Table1[[#This Row],[Likes]],Table1[[#This Row],[Shares]],Table1[[#This Row],[Comments]])/Table1[[#This Row],[Impressions]] )</f>
        <v>0.25771055753262156</v>
      </c>
      <c r="P260" s="90" t="s">
        <v>187</v>
      </c>
      <c r="Q260" s="90">
        <f t="shared" si="4"/>
        <v>400</v>
      </c>
    </row>
    <row r="261" spans="1:17" ht="14.25" customHeight="1" x14ac:dyDescent="0.3">
      <c r="A261" s="15" t="s">
        <v>553</v>
      </c>
      <c r="B261" s="15" t="s">
        <v>2</v>
      </c>
      <c r="C261" s="48" t="s">
        <v>554</v>
      </c>
      <c r="D261" s="15" t="s">
        <v>94</v>
      </c>
      <c r="E261" s="15" t="s">
        <v>95</v>
      </c>
      <c r="F261" s="15">
        <v>4332</v>
      </c>
      <c r="G261" s="15">
        <v>771</v>
      </c>
      <c r="H261" s="15">
        <v>219</v>
      </c>
      <c r="I261" s="15">
        <v>60648</v>
      </c>
      <c r="J261" s="90">
        <v>60397</v>
      </c>
      <c r="K261" s="90">
        <v>10</v>
      </c>
      <c r="L261" s="90" t="s">
        <v>99</v>
      </c>
      <c r="M261" s="90" t="s">
        <v>87</v>
      </c>
      <c r="N261" s="90" t="s">
        <v>666</v>
      </c>
      <c r="O261" s="91">
        <f>(SUM(Table1[[#This Row],[Likes]],Table1[[#This Row],[Shares]],Table1[[#This Row],[Comments]])/Table1[[#This Row],[Impressions]] )</f>
        <v>8.7752275425405618E-2</v>
      </c>
      <c r="P261" s="90" t="s">
        <v>87</v>
      </c>
      <c r="Q261" s="90">
        <f t="shared" si="4"/>
        <v>1000</v>
      </c>
    </row>
    <row r="262" spans="1:17" ht="14.25" customHeight="1" x14ac:dyDescent="0.3">
      <c r="A262" s="15" t="s">
        <v>555</v>
      </c>
      <c r="B262" s="15" t="s">
        <v>2</v>
      </c>
      <c r="C262" s="48" t="s">
        <v>556</v>
      </c>
      <c r="D262" s="15" t="s">
        <v>109</v>
      </c>
      <c r="E262" s="15" t="s">
        <v>110</v>
      </c>
      <c r="F262" s="15">
        <v>4853</v>
      </c>
      <c r="G262" s="15">
        <v>837</v>
      </c>
      <c r="H262" s="15">
        <v>340</v>
      </c>
      <c r="I262" s="15">
        <v>72795</v>
      </c>
      <c r="J262" s="90">
        <v>72237</v>
      </c>
      <c r="K262" s="90">
        <v>170</v>
      </c>
      <c r="L262" s="90" t="s">
        <v>88</v>
      </c>
      <c r="M262" s="90" t="s">
        <v>81</v>
      </c>
      <c r="N262" s="90" t="s">
        <v>666</v>
      </c>
      <c r="O262" s="91">
        <f>(SUM(Table1[[#This Row],[Likes]],Table1[[#This Row],[Shares]],Table1[[#This Row],[Comments]])/Table1[[#This Row],[Impressions]] )</f>
        <v>8.2835359571399134E-2</v>
      </c>
      <c r="P262" s="90" t="s">
        <v>81</v>
      </c>
      <c r="Q262" s="90">
        <f t="shared" si="4"/>
        <v>1347</v>
      </c>
    </row>
    <row r="263" spans="1:17" ht="14.25" customHeight="1" x14ac:dyDescent="0.3">
      <c r="A263" s="15" t="s">
        <v>557</v>
      </c>
      <c r="B263" s="15" t="s">
        <v>4</v>
      </c>
      <c r="C263" s="48" t="s">
        <v>525</v>
      </c>
      <c r="D263" s="15" t="s">
        <v>109</v>
      </c>
      <c r="E263" s="15" t="s">
        <v>110</v>
      </c>
      <c r="F263" s="15">
        <v>1206</v>
      </c>
      <c r="G263" s="15">
        <v>238</v>
      </c>
      <c r="H263" s="15">
        <v>36</v>
      </c>
      <c r="I263" s="15">
        <v>9648</v>
      </c>
      <c r="J263" s="90">
        <v>9417</v>
      </c>
      <c r="K263" s="90">
        <v>237</v>
      </c>
      <c r="L263" s="90" t="s">
        <v>99</v>
      </c>
      <c r="M263" s="90" t="s">
        <v>81</v>
      </c>
      <c r="N263" s="90" t="s">
        <v>118</v>
      </c>
      <c r="O263" s="91">
        <f>(SUM(Table1[[#This Row],[Likes]],Table1[[#This Row],[Shares]],Table1[[#This Row],[Comments]])/Table1[[#This Row],[Impressions]] )</f>
        <v>0.15339966832504145</v>
      </c>
      <c r="P263" s="90" t="s">
        <v>142</v>
      </c>
      <c r="Q263" s="90">
        <f t="shared" si="4"/>
        <v>511</v>
      </c>
    </row>
    <row r="264" spans="1:17" ht="14.25" customHeight="1" x14ac:dyDescent="0.3">
      <c r="A264" s="15" t="s">
        <v>558</v>
      </c>
      <c r="B264" s="15" t="s">
        <v>2</v>
      </c>
      <c r="C264" s="48" t="s">
        <v>559</v>
      </c>
      <c r="D264" s="15" t="s">
        <v>79</v>
      </c>
      <c r="E264" s="15" t="s">
        <v>80</v>
      </c>
      <c r="F264" s="15">
        <v>2603</v>
      </c>
      <c r="G264" s="15">
        <v>690</v>
      </c>
      <c r="H264" s="15">
        <v>205</v>
      </c>
      <c r="I264" s="15">
        <v>13015</v>
      </c>
      <c r="J264" s="90">
        <v>12130</v>
      </c>
      <c r="K264" s="90">
        <v>20</v>
      </c>
      <c r="L264" s="90" t="s">
        <v>82</v>
      </c>
      <c r="M264" s="90" t="s">
        <v>104</v>
      </c>
      <c r="N264" s="90" t="s">
        <v>666</v>
      </c>
      <c r="O264" s="91">
        <f>(SUM(Table1[[#This Row],[Likes]],Table1[[#This Row],[Shares]],Table1[[#This Row],[Comments]])/Table1[[#This Row],[Impressions]] )</f>
        <v>0.26876680752977333</v>
      </c>
      <c r="P264" s="90" t="s">
        <v>104</v>
      </c>
      <c r="Q264" s="90">
        <f t="shared" si="4"/>
        <v>915</v>
      </c>
    </row>
    <row r="265" spans="1:17" ht="14.25" customHeight="1" x14ac:dyDescent="0.3">
      <c r="A265" s="15" t="s">
        <v>560</v>
      </c>
      <c r="B265" s="15" t="s">
        <v>3</v>
      </c>
      <c r="C265" s="48" t="s">
        <v>561</v>
      </c>
      <c r="D265" s="15" t="s">
        <v>109</v>
      </c>
      <c r="E265" s="15" t="s">
        <v>110</v>
      </c>
      <c r="F265" s="15">
        <v>59</v>
      </c>
      <c r="G265" s="15">
        <v>163</v>
      </c>
      <c r="H265" s="15">
        <v>93</v>
      </c>
      <c r="I265" s="15">
        <v>590</v>
      </c>
      <c r="J265" s="90">
        <v>475</v>
      </c>
      <c r="K265" s="90">
        <v>293</v>
      </c>
      <c r="L265" s="90" t="s">
        <v>115</v>
      </c>
      <c r="M265" s="90" t="s">
        <v>104</v>
      </c>
      <c r="N265" s="90" t="s">
        <v>666</v>
      </c>
      <c r="O265" s="91">
        <f>(SUM(Table1[[#This Row],[Likes]],Table1[[#This Row],[Shares]],Table1[[#This Row],[Comments]])/Table1[[#This Row],[Impressions]] )</f>
        <v>0.53389830508474578</v>
      </c>
      <c r="P265" s="90" t="s">
        <v>104</v>
      </c>
      <c r="Q265" s="90">
        <f t="shared" si="4"/>
        <v>549</v>
      </c>
    </row>
    <row r="266" spans="1:17" ht="14.25" customHeight="1" x14ac:dyDescent="0.3">
      <c r="A266" s="15" t="s">
        <v>562</v>
      </c>
      <c r="B266" s="15" t="s">
        <v>3</v>
      </c>
      <c r="C266" s="48" t="s">
        <v>563</v>
      </c>
      <c r="D266" s="15" t="s">
        <v>102</v>
      </c>
      <c r="E266" s="15" t="s">
        <v>103</v>
      </c>
      <c r="F266" s="15">
        <v>1877</v>
      </c>
      <c r="G266" s="15">
        <v>745</v>
      </c>
      <c r="H266" s="15">
        <v>225</v>
      </c>
      <c r="I266" s="15">
        <v>11262</v>
      </c>
      <c r="J266" s="90">
        <v>10967</v>
      </c>
      <c r="K266" s="90">
        <v>41</v>
      </c>
      <c r="L266" s="90" t="s">
        <v>82</v>
      </c>
      <c r="M266" s="90" t="s">
        <v>118</v>
      </c>
      <c r="N266" s="90" t="s">
        <v>81</v>
      </c>
      <c r="O266" s="91">
        <f>(SUM(Table1[[#This Row],[Likes]],Table1[[#This Row],[Shares]],Table1[[#This Row],[Comments]])/Table1[[#This Row],[Impressions]] )</f>
        <v>0.25279701651571657</v>
      </c>
      <c r="P266" s="90" t="s">
        <v>121</v>
      </c>
      <c r="Q266" s="90">
        <f t="shared" si="4"/>
        <v>1011</v>
      </c>
    </row>
    <row r="267" spans="1:17" ht="14.25" customHeight="1" x14ac:dyDescent="0.3">
      <c r="A267" s="15" t="s">
        <v>564</v>
      </c>
      <c r="B267" s="15" t="s">
        <v>1</v>
      </c>
      <c r="C267" s="48" t="s">
        <v>186</v>
      </c>
      <c r="D267" s="15" t="s">
        <v>94</v>
      </c>
      <c r="E267" s="15" t="s">
        <v>95</v>
      </c>
      <c r="F267" s="15">
        <v>4182</v>
      </c>
      <c r="G267" s="15">
        <v>640</v>
      </c>
      <c r="H267" s="15">
        <v>240</v>
      </c>
      <c r="I267" s="15">
        <v>50184</v>
      </c>
      <c r="J267" s="90">
        <v>49351</v>
      </c>
      <c r="K267" s="90">
        <v>10</v>
      </c>
      <c r="L267" s="90" t="s">
        <v>99</v>
      </c>
      <c r="M267" s="90" t="s">
        <v>81</v>
      </c>
      <c r="N267" s="90" t="s">
        <v>118</v>
      </c>
      <c r="O267" s="91">
        <f>(SUM(Table1[[#This Row],[Likes]],Table1[[#This Row],[Shares]],Table1[[#This Row],[Comments]])/Table1[[#This Row],[Impressions]] )</f>
        <v>0.10086880280567512</v>
      </c>
      <c r="P267" s="90" t="s">
        <v>142</v>
      </c>
      <c r="Q267" s="90">
        <f t="shared" si="4"/>
        <v>890</v>
      </c>
    </row>
    <row r="268" spans="1:17" ht="14.25" customHeight="1" x14ac:dyDescent="0.3">
      <c r="A268" s="15" t="s">
        <v>565</v>
      </c>
      <c r="B268" s="15" t="s">
        <v>3</v>
      </c>
      <c r="C268" s="48" t="s">
        <v>451</v>
      </c>
      <c r="D268" s="15" t="s">
        <v>79</v>
      </c>
      <c r="E268" s="15" t="s">
        <v>80</v>
      </c>
      <c r="F268" s="15">
        <v>4187</v>
      </c>
      <c r="G268" s="15">
        <v>66</v>
      </c>
      <c r="H268" s="15">
        <v>31</v>
      </c>
      <c r="I268" s="15">
        <v>66992</v>
      </c>
      <c r="J268" s="90">
        <v>66614</v>
      </c>
      <c r="K268" s="90">
        <v>62</v>
      </c>
      <c r="L268" s="90" t="s">
        <v>115</v>
      </c>
      <c r="M268" s="90" t="s">
        <v>118</v>
      </c>
      <c r="N268" s="90" t="s">
        <v>666</v>
      </c>
      <c r="O268" s="91">
        <f>(SUM(Table1[[#This Row],[Likes]],Table1[[#This Row],[Shares]],Table1[[#This Row],[Comments]])/Table1[[#This Row],[Impressions]] )</f>
        <v>6.3947934081681396E-2</v>
      </c>
      <c r="P268" s="90" t="s">
        <v>118</v>
      </c>
      <c r="Q268" s="90">
        <f t="shared" si="4"/>
        <v>159</v>
      </c>
    </row>
    <row r="269" spans="1:17" ht="14.25" customHeight="1" x14ac:dyDescent="0.3">
      <c r="A269" s="15" t="s">
        <v>566</v>
      </c>
      <c r="B269" s="15" t="s">
        <v>2</v>
      </c>
      <c r="C269" s="48" t="s">
        <v>567</v>
      </c>
      <c r="D269" s="15" t="s">
        <v>79</v>
      </c>
      <c r="E269" s="15" t="s">
        <v>80</v>
      </c>
      <c r="F269" s="15">
        <v>4579</v>
      </c>
      <c r="G269" s="15">
        <v>125</v>
      </c>
      <c r="H269" s="15">
        <v>300</v>
      </c>
      <c r="I269" s="15">
        <v>59527</v>
      </c>
      <c r="J269" s="90">
        <v>59400</v>
      </c>
      <c r="K269" s="90">
        <v>269</v>
      </c>
      <c r="L269" s="90" t="s">
        <v>82</v>
      </c>
      <c r="M269" s="90" t="s">
        <v>118</v>
      </c>
      <c r="N269" s="90" t="s">
        <v>87</v>
      </c>
      <c r="O269" s="91">
        <f>(SUM(Table1[[#This Row],[Likes]],Table1[[#This Row],[Shares]],Table1[[#This Row],[Comments]])/Table1[[#This Row],[Impressions]] )</f>
        <v>8.4062694239588759E-2</v>
      </c>
      <c r="P269" s="90" t="s">
        <v>98</v>
      </c>
      <c r="Q269" s="90">
        <f t="shared" si="4"/>
        <v>694</v>
      </c>
    </row>
    <row r="270" spans="1:17" ht="14.25" customHeight="1" x14ac:dyDescent="0.3">
      <c r="A270" s="15" t="s">
        <v>568</v>
      </c>
      <c r="B270" s="15" t="s">
        <v>2</v>
      </c>
      <c r="C270" s="48" t="s">
        <v>569</v>
      </c>
      <c r="D270" s="15" t="s">
        <v>129</v>
      </c>
      <c r="E270" s="15" t="s">
        <v>130</v>
      </c>
      <c r="F270" s="15">
        <v>4561</v>
      </c>
      <c r="G270" s="15">
        <v>51</v>
      </c>
      <c r="H270" s="15">
        <v>441</v>
      </c>
      <c r="I270" s="15">
        <v>22805</v>
      </c>
      <c r="J270" s="90">
        <v>21890</v>
      </c>
      <c r="K270" s="90">
        <v>45</v>
      </c>
      <c r="L270" s="90" t="s">
        <v>88</v>
      </c>
      <c r="M270" s="90" t="s">
        <v>118</v>
      </c>
      <c r="N270" s="90" t="s">
        <v>666</v>
      </c>
      <c r="O270" s="91">
        <f>(SUM(Table1[[#This Row],[Likes]],Table1[[#This Row],[Shares]],Table1[[#This Row],[Comments]])/Table1[[#This Row],[Impressions]] )</f>
        <v>0.22157421618066214</v>
      </c>
      <c r="P270" s="90" t="s">
        <v>118</v>
      </c>
      <c r="Q270" s="90">
        <f t="shared" si="4"/>
        <v>537</v>
      </c>
    </row>
    <row r="271" spans="1:17" ht="14.25" customHeight="1" x14ac:dyDescent="0.3">
      <c r="A271" s="15" t="s">
        <v>570</v>
      </c>
      <c r="B271" s="15" t="s">
        <v>4</v>
      </c>
      <c r="C271" s="48" t="s">
        <v>469</v>
      </c>
      <c r="D271" s="15" t="s">
        <v>79</v>
      </c>
      <c r="E271" s="15" t="s">
        <v>80</v>
      </c>
      <c r="F271" s="15">
        <v>3774</v>
      </c>
      <c r="G271" s="15">
        <v>239</v>
      </c>
      <c r="H271" s="15">
        <v>39</v>
      </c>
      <c r="I271" s="15">
        <v>60384</v>
      </c>
      <c r="J271" s="90">
        <v>59490</v>
      </c>
      <c r="K271" s="90">
        <v>241</v>
      </c>
      <c r="L271" s="90" t="s">
        <v>99</v>
      </c>
      <c r="M271" s="90" t="s">
        <v>137</v>
      </c>
      <c r="N271" s="90" t="s">
        <v>666</v>
      </c>
      <c r="O271" s="91">
        <f>(SUM(Table1[[#This Row],[Likes]],Table1[[#This Row],[Shares]],Table1[[#This Row],[Comments]])/Table1[[#This Row],[Impressions]] )</f>
        <v>6.7103868574456813E-2</v>
      </c>
      <c r="P271" s="90" t="s">
        <v>137</v>
      </c>
      <c r="Q271" s="90">
        <f t="shared" si="4"/>
        <v>519</v>
      </c>
    </row>
    <row r="272" spans="1:17" ht="14.25" customHeight="1" x14ac:dyDescent="0.3">
      <c r="A272" s="15" t="s">
        <v>571</v>
      </c>
      <c r="B272" s="15" t="s">
        <v>2</v>
      </c>
      <c r="C272" s="48" t="s">
        <v>572</v>
      </c>
      <c r="D272" s="15" t="s">
        <v>129</v>
      </c>
      <c r="E272" s="15" t="s">
        <v>130</v>
      </c>
      <c r="F272" s="15">
        <v>3575</v>
      </c>
      <c r="G272" s="15">
        <v>749</v>
      </c>
      <c r="H272" s="15">
        <v>111</v>
      </c>
      <c r="I272" s="15">
        <v>21450</v>
      </c>
      <c r="J272" s="90">
        <v>20785</v>
      </c>
      <c r="K272" s="90">
        <v>195</v>
      </c>
      <c r="L272" s="90" t="s">
        <v>99</v>
      </c>
      <c r="M272" s="90" t="s">
        <v>137</v>
      </c>
      <c r="N272" s="90" t="s">
        <v>666</v>
      </c>
      <c r="O272" s="91">
        <f>(SUM(Table1[[#This Row],[Likes]],Table1[[#This Row],[Shares]],Table1[[#This Row],[Comments]])/Table1[[#This Row],[Impressions]] )</f>
        <v>0.20675990675990677</v>
      </c>
      <c r="P272" s="90" t="s">
        <v>137</v>
      </c>
      <c r="Q272" s="90">
        <f t="shared" si="4"/>
        <v>1055</v>
      </c>
    </row>
    <row r="273" spans="1:17" ht="14.25" customHeight="1" x14ac:dyDescent="0.3">
      <c r="A273" s="15" t="s">
        <v>573</v>
      </c>
      <c r="B273" s="15" t="s">
        <v>2</v>
      </c>
      <c r="C273" s="48" t="s">
        <v>541</v>
      </c>
      <c r="D273" s="15" t="s">
        <v>85</v>
      </c>
      <c r="E273" s="15" t="s">
        <v>86</v>
      </c>
      <c r="F273" s="15">
        <v>4941</v>
      </c>
      <c r="G273" s="15">
        <v>414</v>
      </c>
      <c r="H273" s="15">
        <v>266</v>
      </c>
      <c r="I273" s="15">
        <v>39528</v>
      </c>
      <c r="J273" s="90">
        <v>39154</v>
      </c>
      <c r="K273" s="90">
        <v>217</v>
      </c>
      <c r="L273" s="90" t="s">
        <v>88</v>
      </c>
      <c r="M273" s="90" t="s">
        <v>81</v>
      </c>
      <c r="N273" s="90" t="s">
        <v>666</v>
      </c>
      <c r="O273" s="91">
        <f>(SUM(Table1[[#This Row],[Likes]],Table1[[#This Row],[Shares]],Table1[[#This Row],[Comments]])/Table1[[#This Row],[Impressions]] )</f>
        <v>0.14220299534507186</v>
      </c>
      <c r="P273" s="90" t="s">
        <v>81</v>
      </c>
      <c r="Q273" s="90">
        <f t="shared" si="4"/>
        <v>897</v>
      </c>
    </row>
    <row r="274" spans="1:17" ht="14.25" customHeight="1" x14ac:dyDescent="0.3">
      <c r="A274" s="15" t="s">
        <v>574</v>
      </c>
      <c r="B274" s="15" t="s">
        <v>4</v>
      </c>
      <c r="C274" s="48" t="s">
        <v>575</v>
      </c>
      <c r="D274" s="15" t="s">
        <v>94</v>
      </c>
      <c r="E274" s="15" t="s">
        <v>95</v>
      </c>
      <c r="F274" s="15">
        <v>3641</v>
      </c>
      <c r="G274" s="15">
        <v>226</v>
      </c>
      <c r="H274" s="15">
        <v>46</v>
      </c>
      <c r="I274" s="15">
        <v>40051</v>
      </c>
      <c r="J274" s="90">
        <v>39319</v>
      </c>
      <c r="K274" s="90">
        <v>296</v>
      </c>
      <c r="L274" s="90" t="s">
        <v>88</v>
      </c>
      <c r="M274" s="90" t="s">
        <v>104</v>
      </c>
      <c r="N274" s="90" t="s">
        <v>666</v>
      </c>
      <c r="O274" s="91">
        <f>(SUM(Table1[[#This Row],[Likes]],Table1[[#This Row],[Shares]],Table1[[#This Row],[Comments]])/Table1[[#This Row],[Impressions]] )</f>
        <v>9.7700431949264685E-2</v>
      </c>
      <c r="P274" s="90" t="s">
        <v>104</v>
      </c>
      <c r="Q274" s="90">
        <f t="shared" si="4"/>
        <v>568</v>
      </c>
    </row>
    <row r="275" spans="1:17" ht="14.25" customHeight="1" x14ac:dyDescent="0.3">
      <c r="A275" s="15" t="s">
        <v>576</v>
      </c>
      <c r="B275" s="15" t="s">
        <v>3</v>
      </c>
      <c r="C275" s="48" t="s">
        <v>391</v>
      </c>
      <c r="D275" s="15" t="s">
        <v>102</v>
      </c>
      <c r="E275" s="15" t="s">
        <v>103</v>
      </c>
      <c r="F275" s="15">
        <v>3535</v>
      </c>
      <c r="G275" s="15">
        <v>494</v>
      </c>
      <c r="H275" s="15">
        <v>152</v>
      </c>
      <c r="I275" s="15">
        <v>53025</v>
      </c>
      <c r="J275" s="90">
        <v>52791</v>
      </c>
      <c r="K275" s="90">
        <v>44</v>
      </c>
      <c r="L275" s="90" t="s">
        <v>88</v>
      </c>
      <c r="M275" s="90" t="s">
        <v>104</v>
      </c>
      <c r="N275" s="90" t="s">
        <v>118</v>
      </c>
      <c r="O275" s="91">
        <f>(SUM(Table1[[#This Row],[Likes]],Table1[[#This Row],[Shares]],Table1[[#This Row],[Comments]])/Table1[[#This Row],[Impressions]] )</f>
        <v>7.8849599245638849E-2</v>
      </c>
      <c r="P275" s="90" t="s">
        <v>274</v>
      </c>
      <c r="Q275" s="90">
        <f t="shared" si="4"/>
        <v>690</v>
      </c>
    </row>
    <row r="276" spans="1:17" ht="14.25" customHeight="1" x14ac:dyDescent="0.3">
      <c r="A276" s="15" t="s">
        <v>577</v>
      </c>
      <c r="B276" s="15" t="s">
        <v>1</v>
      </c>
      <c r="C276" s="48" t="s">
        <v>551</v>
      </c>
      <c r="D276" s="15" t="s">
        <v>79</v>
      </c>
      <c r="E276" s="15" t="s">
        <v>80</v>
      </c>
      <c r="F276" s="15">
        <v>1741</v>
      </c>
      <c r="G276" s="15">
        <v>831</v>
      </c>
      <c r="H276" s="15">
        <v>345</v>
      </c>
      <c r="I276" s="15">
        <v>17410</v>
      </c>
      <c r="J276" s="90">
        <v>16844</v>
      </c>
      <c r="K276" s="90">
        <v>58</v>
      </c>
      <c r="L276" s="90" t="s">
        <v>115</v>
      </c>
      <c r="M276" s="90" t="s">
        <v>87</v>
      </c>
      <c r="N276" s="90" t="s">
        <v>137</v>
      </c>
      <c r="O276" s="91">
        <f>(SUM(Table1[[#This Row],[Likes]],Table1[[#This Row],[Shares]],Table1[[#This Row],[Comments]])/Table1[[#This Row],[Impressions]] )</f>
        <v>0.16754738655944859</v>
      </c>
      <c r="P276" s="90" t="s">
        <v>131</v>
      </c>
      <c r="Q276" s="90">
        <f t="shared" si="4"/>
        <v>1234</v>
      </c>
    </row>
    <row r="277" spans="1:17" ht="14.25" customHeight="1" x14ac:dyDescent="0.3">
      <c r="A277" s="15" t="s">
        <v>578</v>
      </c>
      <c r="B277" s="15" t="s">
        <v>3</v>
      </c>
      <c r="C277" s="48" t="s">
        <v>579</v>
      </c>
      <c r="D277" s="15" t="s">
        <v>102</v>
      </c>
      <c r="E277" s="15" t="s">
        <v>103</v>
      </c>
      <c r="F277" s="15">
        <v>1556</v>
      </c>
      <c r="G277" s="15">
        <v>195</v>
      </c>
      <c r="H277" s="15">
        <v>131</v>
      </c>
      <c r="I277" s="15">
        <v>9336</v>
      </c>
      <c r="J277" s="90">
        <v>8875</v>
      </c>
      <c r="K277" s="90">
        <v>137</v>
      </c>
      <c r="L277" s="90" t="s">
        <v>88</v>
      </c>
      <c r="M277" s="90" t="s">
        <v>87</v>
      </c>
      <c r="N277" s="90" t="s">
        <v>666</v>
      </c>
      <c r="O277" s="91">
        <f>(SUM(Table1[[#This Row],[Likes]],Table1[[#This Row],[Shares]],Table1[[#This Row],[Comments]])/Table1[[#This Row],[Impressions]] )</f>
        <v>0.2015852613538989</v>
      </c>
      <c r="P277" s="90" t="s">
        <v>87</v>
      </c>
      <c r="Q277" s="90">
        <f t="shared" si="4"/>
        <v>463</v>
      </c>
    </row>
    <row r="278" spans="1:17" ht="14.25" customHeight="1" x14ac:dyDescent="0.3">
      <c r="A278" s="15" t="s">
        <v>580</v>
      </c>
      <c r="B278" s="15" t="s">
        <v>1</v>
      </c>
      <c r="C278" s="48" t="s">
        <v>348</v>
      </c>
      <c r="D278" s="15" t="s">
        <v>109</v>
      </c>
      <c r="E278" s="15" t="s">
        <v>110</v>
      </c>
      <c r="F278" s="15">
        <v>4236</v>
      </c>
      <c r="G278" s="15">
        <v>711</v>
      </c>
      <c r="H278" s="15">
        <v>298</v>
      </c>
      <c r="I278" s="15">
        <v>21180</v>
      </c>
      <c r="J278" s="90">
        <v>20516</v>
      </c>
      <c r="K278" s="90">
        <v>238</v>
      </c>
      <c r="L278" s="90" t="s">
        <v>115</v>
      </c>
      <c r="M278" s="90" t="s">
        <v>104</v>
      </c>
      <c r="N278" s="90" t="s">
        <v>81</v>
      </c>
      <c r="O278" s="91">
        <f>(SUM(Table1[[#This Row],[Likes]],Table1[[#This Row],[Shares]],Table1[[#This Row],[Comments]])/Table1[[#This Row],[Impressions]] )</f>
        <v>0.24763928234183191</v>
      </c>
      <c r="P278" s="90" t="s">
        <v>269</v>
      </c>
      <c r="Q278" s="90">
        <f t="shared" si="4"/>
        <v>1247</v>
      </c>
    </row>
    <row r="279" spans="1:17" ht="14.25" customHeight="1" x14ac:dyDescent="0.3">
      <c r="A279" s="15" t="s">
        <v>581</v>
      </c>
      <c r="B279" s="15" t="s">
        <v>3</v>
      </c>
      <c r="C279" s="48" t="s">
        <v>582</v>
      </c>
      <c r="D279" s="15" t="s">
        <v>85</v>
      </c>
      <c r="E279" s="15" t="s">
        <v>86</v>
      </c>
      <c r="F279" s="15">
        <v>4516</v>
      </c>
      <c r="G279" s="15">
        <v>836</v>
      </c>
      <c r="H279" s="15">
        <v>169</v>
      </c>
      <c r="I279" s="15">
        <v>49676</v>
      </c>
      <c r="J279" s="90">
        <v>49257</v>
      </c>
      <c r="K279" s="90">
        <v>282</v>
      </c>
      <c r="L279" s="90" t="s">
        <v>82</v>
      </c>
      <c r="M279" s="90" t="s">
        <v>104</v>
      </c>
      <c r="N279" s="90" t="s">
        <v>666</v>
      </c>
      <c r="O279" s="91">
        <f>(SUM(Table1[[#This Row],[Likes]],Table1[[#This Row],[Shares]],Table1[[#This Row],[Comments]])/Table1[[#This Row],[Impressions]] )</f>
        <v>0.11114018842096787</v>
      </c>
      <c r="P279" s="90" t="s">
        <v>104</v>
      </c>
      <c r="Q279" s="90">
        <f t="shared" si="4"/>
        <v>1287</v>
      </c>
    </row>
    <row r="280" spans="1:17" ht="14.25" customHeight="1" x14ac:dyDescent="0.3">
      <c r="A280" s="15" t="s">
        <v>583</v>
      </c>
      <c r="B280" s="15" t="s">
        <v>4</v>
      </c>
      <c r="C280" s="48" t="s">
        <v>251</v>
      </c>
      <c r="D280" s="15" t="s">
        <v>109</v>
      </c>
      <c r="E280" s="15" t="s">
        <v>110</v>
      </c>
      <c r="F280" s="15">
        <v>4905</v>
      </c>
      <c r="G280" s="15">
        <v>845</v>
      </c>
      <c r="H280" s="15">
        <v>129</v>
      </c>
      <c r="I280" s="15">
        <v>98100</v>
      </c>
      <c r="J280" s="90">
        <v>97772</v>
      </c>
      <c r="K280" s="90">
        <v>279</v>
      </c>
      <c r="L280" s="90" t="s">
        <v>115</v>
      </c>
      <c r="M280" s="90" t="s">
        <v>104</v>
      </c>
      <c r="N280" s="90" t="s">
        <v>666</v>
      </c>
      <c r="O280" s="91">
        <f>(SUM(Table1[[#This Row],[Likes]],Table1[[#This Row],[Shares]],Table1[[#This Row],[Comments]])/Table1[[#This Row],[Impressions]] )</f>
        <v>5.9928644240570844E-2</v>
      </c>
      <c r="P280" s="90" t="s">
        <v>104</v>
      </c>
      <c r="Q280" s="90">
        <f t="shared" si="4"/>
        <v>1253</v>
      </c>
    </row>
    <row r="281" spans="1:17" ht="14.25" customHeight="1" x14ac:dyDescent="0.3">
      <c r="A281" s="15" t="s">
        <v>584</v>
      </c>
      <c r="B281" s="15" t="s">
        <v>4</v>
      </c>
      <c r="C281" s="48" t="s">
        <v>224</v>
      </c>
      <c r="D281" s="15" t="s">
        <v>129</v>
      </c>
      <c r="E281" s="15" t="s">
        <v>130</v>
      </c>
      <c r="F281" s="15">
        <v>4275</v>
      </c>
      <c r="G281" s="15">
        <v>680</v>
      </c>
      <c r="H281" s="15">
        <v>385</v>
      </c>
      <c r="I281" s="15">
        <v>64125</v>
      </c>
      <c r="J281" s="90">
        <v>63650</v>
      </c>
      <c r="K281" s="90">
        <v>104</v>
      </c>
      <c r="L281" s="90" t="s">
        <v>115</v>
      </c>
      <c r="M281" s="90" t="s">
        <v>118</v>
      </c>
      <c r="N281" s="90" t="s">
        <v>666</v>
      </c>
      <c r="O281" s="91">
        <f>(SUM(Table1[[#This Row],[Likes]],Table1[[#This Row],[Shares]],Table1[[#This Row],[Comments]])/Table1[[#This Row],[Impressions]] )</f>
        <v>8.3274853801169585E-2</v>
      </c>
      <c r="P281" s="90" t="s">
        <v>118</v>
      </c>
      <c r="Q281" s="90">
        <f t="shared" si="4"/>
        <v>1169</v>
      </c>
    </row>
    <row r="282" spans="1:17" ht="14.25" customHeight="1" x14ac:dyDescent="0.3">
      <c r="A282" s="15" t="s">
        <v>585</v>
      </c>
      <c r="B282" s="15" t="s">
        <v>4</v>
      </c>
      <c r="C282" s="48" t="s">
        <v>586</v>
      </c>
      <c r="D282" s="15" t="s">
        <v>109</v>
      </c>
      <c r="E282" s="15" t="s">
        <v>110</v>
      </c>
      <c r="F282" s="15">
        <v>3166</v>
      </c>
      <c r="G282" s="15">
        <v>90</v>
      </c>
      <c r="H282" s="15">
        <v>341</v>
      </c>
      <c r="I282" s="15">
        <v>56988</v>
      </c>
      <c r="J282" s="90">
        <v>56125</v>
      </c>
      <c r="K282" s="90">
        <v>135</v>
      </c>
      <c r="L282" s="90" t="s">
        <v>88</v>
      </c>
      <c r="M282" s="90" t="s">
        <v>87</v>
      </c>
      <c r="N282" s="90" t="s">
        <v>118</v>
      </c>
      <c r="O282" s="91">
        <f>(SUM(Table1[[#This Row],[Likes]],Table1[[#This Row],[Shares]],Table1[[#This Row],[Comments]])/Table1[[#This Row],[Impressions]] )</f>
        <v>6.3118551273952411E-2</v>
      </c>
      <c r="P282" s="90" t="s">
        <v>206</v>
      </c>
      <c r="Q282" s="90">
        <f t="shared" si="4"/>
        <v>566</v>
      </c>
    </row>
    <row r="283" spans="1:17" ht="14.25" customHeight="1" x14ac:dyDescent="0.3">
      <c r="A283" s="15" t="s">
        <v>587</v>
      </c>
      <c r="B283" s="15" t="s">
        <v>2</v>
      </c>
      <c r="C283" s="48" t="s">
        <v>588</v>
      </c>
      <c r="D283" s="15" t="s">
        <v>129</v>
      </c>
      <c r="E283" s="15" t="s">
        <v>130</v>
      </c>
      <c r="F283" s="15">
        <v>1488</v>
      </c>
      <c r="G283" s="15">
        <v>417</v>
      </c>
      <c r="H283" s="15">
        <v>168</v>
      </c>
      <c r="I283" s="15">
        <v>19344</v>
      </c>
      <c r="J283" s="90">
        <v>18395</v>
      </c>
      <c r="K283" s="90">
        <v>30</v>
      </c>
      <c r="L283" s="90" t="s">
        <v>82</v>
      </c>
      <c r="M283" s="90" t="s">
        <v>81</v>
      </c>
      <c r="N283" s="90" t="s">
        <v>666</v>
      </c>
      <c r="O283" s="91">
        <f>(SUM(Table1[[#This Row],[Likes]],Table1[[#This Row],[Shares]],Table1[[#This Row],[Comments]])/Table1[[#This Row],[Impressions]] )</f>
        <v>0.1071650124069479</v>
      </c>
      <c r="P283" s="90" t="s">
        <v>81</v>
      </c>
      <c r="Q283" s="90">
        <f t="shared" si="4"/>
        <v>615</v>
      </c>
    </row>
    <row r="284" spans="1:17" ht="14.25" customHeight="1" x14ac:dyDescent="0.3">
      <c r="A284" s="15" t="s">
        <v>589</v>
      </c>
      <c r="B284" s="15" t="s">
        <v>3</v>
      </c>
      <c r="C284" s="48" t="s">
        <v>590</v>
      </c>
      <c r="D284" s="15" t="s">
        <v>79</v>
      </c>
      <c r="E284" s="15" t="s">
        <v>80</v>
      </c>
      <c r="F284" s="15">
        <v>3367</v>
      </c>
      <c r="G284" s="15">
        <v>302</v>
      </c>
      <c r="H284" s="15">
        <v>57</v>
      </c>
      <c r="I284" s="15">
        <v>63973</v>
      </c>
      <c r="J284" s="90">
        <v>63789</v>
      </c>
      <c r="K284" s="90">
        <v>157</v>
      </c>
      <c r="L284" s="90" t="s">
        <v>99</v>
      </c>
      <c r="M284" s="90" t="s">
        <v>104</v>
      </c>
      <c r="N284" s="90" t="s">
        <v>87</v>
      </c>
      <c r="O284" s="91">
        <f>(SUM(Table1[[#This Row],[Likes]],Table1[[#This Row],[Shares]],Table1[[#This Row],[Comments]])/Table1[[#This Row],[Impressions]] )</f>
        <v>5.8243321401216137E-2</v>
      </c>
      <c r="P284" s="90" t="s">
        <v>165</v>
      </c>
      <c r="Q284" s="90">
        <f t="shared" si="4"/>
        <v>516</v>
      </c>
    </row>
    <row r="285" spans="1:17" ht="14.25" customHeight="1" x14ac:dyDescent="0.3">
      <c r="A285" s="15" t="s">
        <v>591</v>
      </c>
      <c r="B285" s="15" t="s">
        <v>3</v>
      </c>
      <c r="C285" s="48" t="s">
        <v>159</v>
      </c>
      <c r="D285" s="15" t="s">
        <v>85</v>
      </c>
      <c r="E285" s="15" t="s">
        <v>86</v>
      </c>
      <c r="F285" s="15">
        <v>571</v>
      </c>
      <c r="G285" s="15">
        <v>190</v>
      </c>
      <c r="H285" s="15">
        <v>352</v>
      </c>
      <c r="I285" s="15">
        <v>9707</v>
      </c>
      <c r="J285" s="90">
        <v>9418</v>
      </c>
      <c r="K285" s="90">
        <v>231</v>
      </c>
      <c r="L285" s="90" t="s">
        <v>88</v>
      </c>
      <c r="M285" s="90" t="s">
        <v>137</v>
      </c>
      <c r="N285" s="90" t="s">
        <v>666</v>
      </c>
      <c r="O285" s="91">
        <f>(SUM(Table1[[#This Row],[Likes]],Table1[[#This Row],[Shares]],Table1[[#This Row],[Comments]])/Table1[[#This Row],[Impressions]] )</f>
        <v>0.11465952405480581</v>
      </c>
      <c r="P285" s="90" t="s">
        <v>137</v>
      </c>
      <c r="Q285" s="90">
        <f t="shared" si="4"/>
        <v>773</v>
      </c>
    </row>
    <row r="286" spans="1:17" ht="14.25" customHeight="1" x14ac:dyDescent="0.3">
      <c r="A286" s="15" t="s">
        <v>592</v>
      </c>
      <c r="B286" s="15" t="s">
        <v>4</v>
      </c>
      <c r="C286" s="48" t="s">
        <v>484</v>
      </c>
      <c r="D286" s="15" t="s">
        <v>85</v>
      </c>
      <c r="E286" s="15" t="s">
        <v>86</v>
      </c>
      <c r="F286" s="15">
        <v>4021</v>
      </c>
      <c r="G286" s="15">
        <v>794</v>
      </c>
      <c r="H286" s="15">
        <v>77</v>
      </c>
      <c r="I286" s="15">
        <v>36189</v>
      </c>
      <c r="J286" s="90">
        <v>35505</v>
      </c>
      <c r="K286" s="90">
        <v>174</v>
      </c>
      <c r="L286" s="90" t="s">
        <v>82</v>
      </c>
      <c r="M286" s="90" t="s">
        <v>137</v>
      </c>
      <c r="N286" s="90" t="s">
        <v>118</v>
      </c>
      <c r="O286" s="91">
        <f>(SUM(Table1[[#This Row],[Likes]],Table1[[#This Row],[Shares]],Table1[[#This Row],[Comments]])/Table1[[#This Row],[Impressions]] )</f>
        <v>0.13517919809886983</v>
      </c>
      <c r="P286" s="90" t="s">
        <v>324</v>
      </c>
      <c r="Q286" s="90">
        <f t="shared" si="4"/>
        <v>1045</v>
      </c>
    </row>
    <row r="287" spans="1:17" ht="14.25" customHeight="1" x14ac:dyDescent="0.3">
      <c r="A287" s="15" t="s">
        <v>593</v>
      </c>
      <c r="B287" s="15" t="s">
        <v>4</v>
      </c>
      <c r="C287" s="48" t="s">
        <v>594</v>
      </c>
      <c r="D287" s="15" t="s">
        <v>129</v>
      </c>
      <c r="E287" s="15" t="s">
        <v>130</v>
      </c>
      <c r="F287" s="15">
        <v>3389</v>
      </c>
      <c r="G287" s="15">
        <v>344</v>
      </c>
      <c r="H287" s="15">
        <v>229</v>
      </c>
      <c r="I287" s="15">
        <v>20334</v>
      </c>
      <c r="J287" s="90">
        <v>19443</v>
      </c>
      <c r="K287" s="90">
        <v>228</v>
      </c>
      <c r="L287" s="90" t="s">
        <v>88</v>
      </c>
      <c r="M287" s="90" t="s">
        <v>87</v>
      </c>
      <c r="N287" s="90" t="s">
        <v>81</v>
      </c>
      <c r="O287" s="91">
        <f>(SUM(Table1[[#This Row],[Likes]],Table1[[#This Row],[Shares]],Table1[[#This Row],[Comments]])/Table1[[#This Row],[Impressions]] )</f>
        <v>0.19484607062063539</v>
      </c>
      <c r="P287" s="90" t="s">
        <v>91</v>
      </c>
      <c r="Q287" s="90">
        <f t="shared" si="4"/>
        <v>801</v>
      </c>
    </row>
    <row r="288" spans="1:17" ht="14.25" customHeight="1" x14ac:dyDescent="0.3">
      <c r="A288" s="15" t="s">
        <v>595</v>
      </c>
      <c r="B288" s="15" t="s">
        <v>2</v>
      </c>
      <c r="C288" s="48" t="s">
        <v>459</v>
      </c>
      <c r="D288" s="15" t="s">
        <v>79</v>
      </c>
      <c r="E288" s="15" t="s">
        <v>80</v>
      </c>
      <c r="F288" s="15">
        <v>1164</v>
      </c>
      <c r="G288" s="15">
        <v>616</v>
      </c>
      <c r="H288" s="15">
        <v>324</v>
      </c>
      <c r="I288" s="15">
        <v>6984</v>
      </c>
      <c r="J288" s="90">
        <v>6636</v>
      </c>
      <c r="K288" s="90">
        <v>82</v>
      </c>
      <c r="L288" s="90" t="s">
        <v>99</v>
      </c>
      <c r="M288" s="90" t="s">
        <v>87</v>
      </c>
      <c r="N288" s="90" t="s">
        <v>104</v>
      </c>
      <c r="O288" s="91">
        <f>(SUM(Table1[[#This Row],[Likes]],Table1[[#This Row],[Shares]],Table1[[#This Row],[Comments]])/Table1[[#This Row],[Impressions]] )</f>
        <v>0.30126002290950743</v>
      </c>
      <c r="P288" s="90" t="s">
        <v>345</v>
      </c>
      <c r="Q288" s="90">
        <f t="shared" si="4"/>
        <v>1022</v>
      </c>
    </row>
    <row r="289" spans="1:17" ht="14.25" customHeight="1" x14ac:dyDescent="0.3">
      <c r="A289" s="15" t="s">
        <v>596</v>
      </c>
      <c r="B289" s="15" t="s">
        <v>4</v>
      </c>
      <c r="C289" s="48" t="s">
        <v>597</v>
      </c>
      <c r="D289" s="15" t="s">
        <v>102</v>
      </c>
      <c r="E289" s="15" t="s">
        <v>103</v>
      </c>
      <c r="F289" s="15">
        <v>4780</v>
      </c>
      <c r="G289" s="15">
        <v>691</v>
      </c>
      <c r="H289" s="15">
        <v>380</v>
      </c>
      <c r="I289" s="15">
        <v>86040</v>
      </c>
      <c r="J289" s="90">
        <v>85743</v>
      </c>
      <c r="K289" s="90">
        <v>262</v>
      </c>
      <c r="L289" s="90" t="s">
        <v>99</v>
      </c>
      <c r="M289" s="90" t="s">
        <v>87</v>
      </c>
      <c r="N289" s="90" t="s">
        <v>137</v>
      </c>
      <c r="O289" s="91">
        <f>(SUM(Table1[[#This Row],[Likes]],Table1[[#This Row],[Shares]],Table1[[#This Row],[Comments]])/Table1[[#This Row],[Impressions]] )</f>
        <v>6.800325430032543E-2</v>
      </c>
      <c r="P289" s="90" t="s">
        <v>131</v>
      </c>
      <c r="Q289" s="90">
        <f t="shared" si="4"/>
        <v>1333</v>
      </c>
    </row>
    <row r="290" spans="1:17" ht="14.25" customHeight="1" x14ac:dyDescent="0.3">
      <c r="A290" s="15" t="s">
        <v>598</v>
      </c>
      <c r="B290" s="15" t="s">
        <v>1</v>
      </c>
      <c r="C290" s="48" t="s">
        <v>364</v>
      </c>
      <c r="D290" s="15" t="s">
        <v>102</v>
      </c>
      <c r="E290" s="15" t="s">
        <v>103</v>
      </c>
      <c r="F290" s="15">
        <v>2751</v>
      </c>
      <c r="G290" s="15">
        <v>33</v>
      </c>
      <c r="H290" s="15">
        <v>430</v>
      </c>
      <c r="I290" s="15">
        <v>44016</v>
      </c>
      <c r="J290" s="90">
        <v>43415</v>
      </c>
      <c r="K290" s="90">
        <v>129</v>
      </c>
      <c r="L290" s="90" t="s">
        <v>88</v>
      </c>
      <c r="M290" s="90" t="s">
        <v>104</v>
      </c>
      <c r="N290" s="90" t="s">
        <v>118</v>
      </c>
      <c r="O290" s="91">
        <f>(SUM(Table1[[#This Row],[Likes]],Table1[[#This Row],[Shares]],Table1[[#This Row],[Comments]])/Table1[[#This Row],[Impressions]] )</f>
        <v>7.3018902217375503E-2</v>
      </c>
      <c r="P290" s="90" t="s">
        <v>274</v>
      </c>
      <c r="Q290" s="90">
        <f t="shared" si="4"/>
        <v>592</v>
      </c>
    </row>
    <row r="291" spans="1:17" ht="14.25" customHeight="1" x14ac:dyDescent="0.3">
      <c r="A291" s="15" t="s">
        <v>599</v>
      </c>
      <c r="B291" s="15" t="s">
        <v>2</v>
      </c>
      <c r="C291" s="48" t="s">
        <v>600</v>
      </c>
      <c r="D291" s="15" t="s">
        <v>102</v>
      </c>
      <c r="E291" s="15" t="s">
        <v>103</v>
      </c>
      <c r="F291" s="15">
        <v>2107</v>
      </c>
      <c r="G291" s="15">
        <v>550</v>
      </c>
      <c r="H291" s="15">
        <v>349</v>
      </c>
      <c r="I291" s="15">
        <v>35819</v>
      </c>
      <c r="J291" s="90">
        <v>35340</v>
      </c>
      <c r="K291" s="90">
        <v>191</v>
      </c>
      <c r="L291" s="90" t="s">
        <v>99</v>
      </c>
      <c r="M291" s="90" t="s">
        <v>104</v>
      </c>
      <c r="N291" s="90" t="s">
        <v>666</v>
      </c>
      <c r="O291" s="91">
        <f>(SUM(Table1[[#This Row],[Likes]],Table1[[#This Row],[Shares]],Table1[[#This Row],[Comments]])/Table1[[#This Row],[Impressions]] )</f>
        <v>8.3921940869371006E-2</v>
      </c>
      <c r="P291" s="90" t="s">
        <v>104</v>
      </c>
      <c r="Q291" s="90">
        <f t="shared" si="4"/>
        <v>1090</v>
      </c>
    </row>
    <row r="292" spans="1:17" ht="14.25" customHeight="1" x14ac:dyDescent="0.3">
      <c r="A292" s="15" t="s">
        <v>601</v>
      </c>
      <c r="B292" s="15" t="s">
        <v>1</v>
      </c>
      <c r="C292" s="48" t="s">
        <v>151</v>
      </c>
      <c r="D292" s="15" t="s">
        <v>129</v>
      </c>
      <c r="E292" s="15" t="s">
        <v>130</v>
      </c>
      <c r="F292" s="15">
        <v>4663</v>
      </c>
      <c r="G292" s="15">
        <v>145</v>
      </c>
      <c r="H292" s="15">
        <v>225</v>
      </c>
      <c r="I292" s="15">
        <v>69945</v>
      </c>
      <c r="J292" s="90">
        <v>69596</v>
      </c>
      <c r="K292" s="90">
        <v>35</v>
      </c>
      <c r="L292" s="90" t="s">
        <v>88</v>
      </c>
      <c r="M292" s="90" t="s">
        <v>87</v>
      </c>
      <c r="N292" s="90" t="s">
        <v>666</v>
      </c>
      <c r="O292" s="91">
        <f>(SUM(Table1[[#This Row],[Likes]],Table1[[#This Row],[Shares]],Table1[[#This Row],[Comments]])/Table1[[#This Row],[Impressions]] )</f>
        <v>7.1956537279290869E-2</v>
      </c>
      <c r="P292" s="90" t="s">
        <v>87</v>
      </c>
      <c r="Q292" s="90">
        <f t="shared" si="4"/>
        <v>405</v>
      </c>
    </row>
    <row r="293" spans="1:17" ht="14.25" customHeight="1" x14ac:dyDescent="0.3">
      <c r="A293" s="15" t="s">
        <v>602</v>
      </c>
      <c r="B293" s="15" t="s">
        <v>1</v>
      </c>
      <c r="C293" s="48" t="s">
        <v>603</v>
      </c>
      <c r="D293" s="15" t="s">
        <v>85</v>
      </c>
      <c r="E293" s="15" t="s">
        <v>86</v>
      </c>
      <c r="F293" s="15">
        <v>880</v>
      </c>
      <c r="G293" s="15">
        <v>297</v>
      </c>
      <c r="H293" s="15">
        <v>345</v>
      </c>
      <c r="I293" s="15">
        <v>12320</v>
      </c>
      <c r="J293" s="90">
        <v>11978</v>
      </c>
      <c r="K293" s="90">
        <v>238</v>
      </c>
      <c r="L293" s="90" t="s">
        <v>88</v>
      </c>
      <c r="M293" s="90" t="s">
        <v>81</v>
      </c>
      <c r="N293" s="90" t="s">
        <v>666</v>
      </c>
      <c r="O293" s="91">
        <f>(SUM(Table1[[#This Row],[Likes]],Table1[[#This Row],[Shares]],Table1[[#This Row],[Comments]])/Table1[[#This Row],[Impressions]] )</f>
        <v>0.12353896103896105</v>
      </c>
      <c r="P293" s="90" t="s">
        <v>81</v>
      </c>
      <c r="Q293" s="90">
        <f t="shared" si="4"/>
        <v>880</v>
      </c>
    </row>
    <row r="294" spans="1:17" ht="14.25" customHeight="1" x14ac:dyDescent="0.3">
      <c r="A294" s="15" t="s">
        <v>604</v>
      </c>
      <c r="B294" s="15" t="s">
        <v>1</v>
      </c>
      <c r="C294" s="48" t="s">
        <v>605</v>
      </c>
      <c r="D294" s="15" t="s">
        <v>85</v>
      </c>
      <c r="E294" s="15" t="s">
        <v>86</v>
      </c>
      <c r="F294" s="15">
        <v>2634</v>
      </c>
      <c r="G294" s="15">
        <v>726</v>
      </c>
      <c r="H294" s="15">
        <v>241</v>
      </c>
      <c r="I294" s="15">
        <v>28974</v>
      </c>
      <c r="J294" s="90">
        <v>28102</v>
      </c>
      <c r="K294" s="90">
        <v>277</v>
      </c>
      <c r="L294" s="90" t="s">
        <v>99</v>
      </c>
      <c r="M294" s="90" t="s">
        <v>118</v>
      </c>
      <c r="N294" s="90" t="s">
        <v>666</v>
      </c>
      <c r="O294" s="91">
        <f>(SUM(Table1[[#This Row],[Likes]],Table1[[#This Row],[Shares]],Table1[[#This Row],[Comments]])/Table1[[#This Row],[Impressions]] )</f>
        <v>0.12428384068475185</v>
      </c>
      <c r="P294" s="90" t="s">
        <v>118</v>
      </c>
      <c r="Q294" s="90">
        <f t="shared" si="4"/>
        <v>1244</v>
      </c>
    </row>
    <row r="295" spans="1:17" ht="14.25" customHeight="1" x14ac:dyDescent="0.3">
      <c r="A295" s="15" t="s">
        <v>606</v>
      </c>
      <c r="B295" s="15" t="s">
        <v>1</v>
      </c>
      <c r="C295" s="48" t="s">
        <v>607</v>
      </c>
      <c r="D295" s="15" t="s">
        <v>102</v>
      </c>
      <c r="E295" s="15" t="s">
        <v>103</v>
      </c>
      <c r="F295" s="15">
        <v>4731</v>
      </c>
      <c r="G295" s="15">
        <v>173</v>
      </c>
      <c r="H295" s="15">
        <v>276</v>
      </c>
      <c r="I295" s="15">
        <v>28386</v>
      </c>
      <c r="J295" s="90">
        <v>28185</v>
      </c>
      <c r="K295" s="90">
        <v>89</v>
      </c>
      <c r="L295" s="90" t="s">
        <v>115</v>
      </c>
      <c r="M295" s="90" t="s">
        <v>104</v>
      </c>
      <c r="N295" s="90" t="s">
        <v>87</v>
      </c>
      <c r="O295" s="91">
        <f>(SUM(Table1[[#This Row],[Likes]],Table1[[#This Row],[Shares]],Table1[[#This Row],[Comments]])/Table1[[#This Row],[Impressions]] )</f>
        <v>0.18248432325794406</v>
      </c>
      <c r="P295" s="90" t="s">
        <v>165</v>
      </c>
      <c r="Q295" s="90">
        <f t="shared" si="4"/>
        <v>538</v>
      </c>
    </row>
    <row r="296" spans="1:17" ht="14.25" customHeight="1" x14ac:dyDescent="0.3">
      <c r="A296" s="15" t="s">
        <v>608</v>
      </c>
      <c r="B296" s="15" t="s">
        <v>3</v>
      </c>
      <c r="C296" s="48" t="s">
        <v>490</v>
      </c>
      <c r="D296" s="15" t="s">
        <v>109</v>
      </c>
      <c r="E296" s="15" t="s">
        <v>110</v>
      </c>
      <c r="F296" s="15">
        <v>1952</v>
      </c>
      <c r="G296" s="15">
        <v>344</v>
      </c>
      <c r="H296" s="15">
        <v>287</v>
      </c>
      <c r="I296" s="15">
        <v>15616</v>
      </c>
      <c r="J296" s="90">
        <v>15403</v>
      </c>
      <c r="K296" s="90">
        <v>235</v>
      </c>
      <c r="L296" s="90" t="s">
        <v>99</v>
      </c>
      <c r="M296" s="90" t="s">
        <v>81</v>
      </c>
      <c r="N296" s="90" t="s">
        <v>87</v>
      </c>
      <c r="O296" s="91">
        <f>(SUM(Table1[[#This Row],[Likes]],Table1[[#This Row],[Shares]],Table1[[#This Row],[Comments]])/Table1[[#This Row],[Impressions]] )</f>
        <v>0.16540727459016394</v>
      </c>
      <c r="P296" s="90" t="s">
        <v>126</v>
      </c>
      <c r="Q296" s="90">
        <f t="shared" si="4"/>
        <v>866</v>
      </c>
    </row>
    <row r="297" spans="1:17" ht="14.25" customHeight="1" x14ac:dyDescent="0.3">
      <c r="A297" s="15" t="s">
        <v>609</v>
      </c>
      <c r="B297" s="15" t="s">
        <v>3</v>
      </c>
      <c r="C297" s="48" t="s">
        <v>610</v>
      </c>
      <c r="D297" s="15" t="s">
        <v>129</v>
      </c>
      <c r="E297" s="15" t="s">
        <v>130</v>
      </c>
      <c r="F297" s="15">
        <v>3440</v>
      </c>
      <c r="G297" s="15">
        <v>13</v>
      </c>
      <c r="H297" s="15">
        <v>20</v>
      </c>
      <c r="I297" s="15">
        <v>58480</v>
      </c>
      <c r="J297" s="90">
        <v>58146</v>
      </c>
      <c r="K297" s="90">
        <v>210</v>
      </c>
      <c r="L297" s="90" t="s">
        <v>82</v>
      </c>
      <c r="M297" s="90" t="s">
        <v>87</v>
      </c>
      <c r="N297" s="90" t="s">
        <v>137</v>
      </c>
      <c r="O297" s="91">
        <f>(SUM(Table1[[#This Row],[Likes]],Table1[[#This Row],[Shares]],Table1[[#This Row],[Comments]])/Table1[[#This Row],[Impressions]] )</f>
        <v>5.9387824897400819E-2</v>
      </c>
      <c r="P297" s="90" t="s">
        <v>131</v>
      </c>
      <c r="Q297" s="90">
        <f t="shared" si="4"/>
        <v>243</v>
      </c>
    </row>
    <row r="298" spans="1:17" ht="14.25" customHeight="1" x14ac:dyDescent="0.3">
      <c r="A298" s="15" t="s">
        <v>611</v>
      </c>
      <c r="B298" s="15" t="s">
        <v>3</v>
      </c>
      <c r="C298" s="48" t="s">
        <v>612</v>
      </c>
      <c r="D298" s="15" t="s">
        <v>85</v>
      </c>
      <c r="E298" s="15" t="s">
        <v>86</v>
      </c>
      <c r="F298" s="15">
        <v>2166</v>
      </c>
      <c r="G298" s="15">
        <v>354</v>
      </c>
      <c r="H298" s="15">
        <v>117</v>
      </c>
      <c r="I298" s="15">
        <v>10830</v>
      </c>
      <c r="J298" s="90">
        <v>10245</v>
      </c>
      <c r="K298" s="90">
        <v>24</v>
      </c>
      <c r="L298" s="90" t="s">
        <v>82</v>
      </c>
      <c r="M298" s="90" t="s">
        <v>118</v>
      </c>
      <c r="N298" s="90" t="s">
        <v>104</v>
      </c>
      <c r="O298" s="91">
        <f>(SUM(Table1[[#This Row],[Likes]],Table1[[#This Row],[Shares]],Table1[[#This Row],[Comments]])/Table1[[#This Row],[Impressions]] )</f>
        <v>0.24349030470914126</v>
      </c>
      <c r="P298" s="90" t="s">
        <v>147</v>
      </c>
      <c r="Q298" s="90">
        <f t="shared" si="4"/>
        <v>495</v>
      </c>
    </row>
    <row r="299" spans="1:17" ht="14.25" customHeight="1" x14ac:dyDescent="0.3">
      <c r="A299" s="15" t="s">
        <v>613</v>
      </c>
      <c r="B299" s="15" t="s">
        <v>1</v>
      </c>
      <c r="C299" s="48" t="s">
        <v>128</v>
      </c>
      <c r="D299" s="15" t="s">
        <v>109</v>
      </c>
      <c r="E299" s="15" t="s">
        <v>110</v>
      </c>
      <c r="F299" s="15">
        <v>4303</v>
      </c>
      <c r="G299" s="15">
        <v>451</v>
      </c>
      <c r="H299" s="15">
        <v>286</v>
      </c>
      <c r="I299" s="15">
        <v>86060</v>
      </c>
      <c r="J299" s="90">
        <v>85823</v>
      </c>
      <c r="K299" s="90">
        <v>14</v>
      </c>
      <c r="L299" s="90" t="s">
        <v>88</v>
      </c>
      <c r="M299" s="90" t="s">
        <v>81</v>
      </c>
      <c r="N299" s="90" t="s">
        <v>666</v>
      </c>
      <c r="O299" s="91">
        <f>(SUM(Table1[[#This Row],[Likes]],Table1[[#This Row],[Shares]],Table1[[#This Row],[Comments]])/Table1[[#This Row],[Impressions]] )</f>
        <v>5.8563792702765516E-2</v>
      </c>
      <c r="P299" s="90" t="s">
        <v>81</v>
      </c>
      <c r="Q299" s="90">
        <f t="shared" si="4"/>
        <v>751</v>
      </c>
    </row>
    <row r="300" spans="1:17" ht="14.25" customHeight="1" x14ac:dyDescent="0.3">
      <c r="A300" s="15" t="s">
        <v>614</v>
      </c>
      <c r="B300" s="15" t="s">
        <v>1</v>
      </c>
      <c r="C300" s="48" t="s">
        <v>133</v>
      </c>
      <c r="D300" s="15" t="s">
        <v>109</v>
      </c>
      <c r="E300" s="15" t="s">
        <v>110</v>
      </c>
      <c r="F300" s="15">
        <v>2581</v>
      </c>
      <c r="G300" s="15">
        <v>517</v>
      </c>
      <c r="H300" s="15">
        <v>117</v>
      </c>
      <c r="I300" s="15">
        <v>23229</v>
      </c>
      <c r="J300" s="90">
        <v>22331</v>
      </c>
      <c r="K300" s="90">
        <v>70</v>
      </c>
      <c r="L300" s="90" t="s">
        <v>88</v>
      </c>
      <c r="M300" s="90" t="s">
        <v>81</v>
      </c>
      <c r="N300" s="90" t="s">
        <v>118</v>
      </c>
      <c r="O300" s="91">
        <f>(SUM(Table1[[#This Row],[Likes]],Table1[[#This Row],[Shares]],Table1[[#This Row],[Comments]])/Table1[[#This Row],[Impressions]] )</f>
        <v>0.13840458048129492</v>
      </c>
      <c r="P300" s="90" t="s">
        <v>142</v>
      </c>
      <c r="Q300" s="90">
        <f t="shared" si="4"/>
        <v>704</v>
      </c>
    </row>
    <row r="301" spans="1:17" ht="14.25" customHeight="1" x14ac:dyDescent="0.3">
      <c r="A301" s="15" t="s">
        <v>615</v>
      </c>
      <c r="B301" s="15" t="s">
        <v>3</v>
      </c>
      <c r="C301" s="48" t="s">
        <v>374</v>
      </c>
      <c r="D301" s="15" t="s">
        <v>102</v>
      </c>
      <c r="E301" s="15" t="s">
        <v>103</v>
      </c>
      <c r="F301" s="15">
        <v>4494</v>
      </c>
      <c r="G301" s="15">
        <v>717</v>
      </c>
      <c r="H301" s="15">
        <v>45</v>
      </c>
      <c r="I301" s="15">
        <v>62916</v>
      </c>
      <c r="J301" s="90">
        <v>62688</v>
      </c>
      <c r="K301" s="90">
        <v>191</v>
      </c>
      <c r="L301" s="90" t="s">
        <v>82</v>
      </c>
      <c r="M301" s="90" t="s">
        <v>87</v>
      </c>
      <c r="N301" s="90" t="s">
        <v>666</v>
      </c>
      <c r="O301" s="91">
        <f>(SUM(Table1[[#This Row],[Likes]],Table1[[#This Row],[Shares]],Table1[[#This Row],[Comments]])/Table1[[#This Row],[Impressions]] )</f>
        <v>8.3539958039290485E-2</v>
      </c>
      <c r="P301" s="90" t="s">
        <v>87</v>
      </c>
      <c r="Q301" s="90">
        <f t="shared" si="4"/>
        <v>953</v>
      </c>
    </row>
    <row r="302" spans="1:17" ht="14.25" customHeight="1" x14ac:dyDescent="0.3"/>
    <row r="303" spans="1:17" ht="14.25" customHeight="1" x14ac:dyDescent="0.3"/>
    <row r="304" spans="1:17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dataConsolidate/>
  <dataValidations count="1">
    <dataValidation type="list" allowBlank="1" showInputMessage="1" showErrorMessage="1" sqref="B2:B301" xr:uid="{07646724-2765-409F-892C-46904BC96147}">
      <formula1>$B$2:$B$301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A8DC-C5DB-4E82-BDA2-54631890467B}">
  <dimension ref="A1:F1000"/>
  <sheetViews>
    <sheetView workbookViewId="0">
      <selection activeCell="E17" sqref="E17"/>
    </sheetView>
  </sheetViews>
  <sheetFormatPr defaultColWidth="14.44140625" defaultRowHeight="15" customHeight="1" x14ac:dyDescent="0.3"/>
  <cols>
    <col min="1" max="1" width="19.109375" style="15" customWidth="1"/>
    <col min="2" max="2" width="15.5546875" style="15" customWidth="1"/>
    <col min="3" max="3" width="28.5546875" style="15" customWidth="1"/>
    <col min="4" max="4" width="10.88671875" style="15" customWidth="1"/>
    <col min="5" max="5" width="20.88671875" style="15" customWidth="1"/>
    <col min="6" max="6" width="20.77734375" style="15" customWidth="1"/>
    <col min="7" max="7" width="14.44140625" style="15" customWidth="1"/>
    <col min="8" max="8" width="10.109375" style="15" customWidth="1"/>
    <col min="9" max="26" width="8.6640625" style="15" customWidth="1"/>
    <col min="27" max="16384" width="14.44140625" style="15"/>
  </cols>
  <sheetData>
    <row r="1" spans="1:6" ht="14.25" customHeight="1" thickBot="1" x14ac:dyDescent="0.35">
      <c r="A1" s="53" t="s">
        <v>75</v>
      </c>
      <c r="B1" s="54" t="s">
        <v>642</v>
      </c>
      <c r="C1" s="54" t="s">
        <v>643</v>
      </c>
      <c r="D1" s="55" t="s">
        <v>674</v>
      </c>
      <c r="E1" s="56" t="s">
        <v>675</v>
      </c>
      <c r="F1" s="57" t="s">
        <v>644</v>
      </c>
    </row>
    <row r="2" spans="1:6" ht="14.25" customHeight="1" thickBot="1" x14ac:dyDescent="0.35">
      <c r="A2" s="58" t="s">
        <v>88</v>
      </c>
      <c r="B2" s="46">
        <v>45453</v>
      </c>
      <c r="C2" s="46">
        <v>45478</v>
      </c>
      <c r="D2" s="45" t="s">
        <v>676</v>
      </c>
      <c r="E2" s="59">
        <v>180000</v>
      </c>
      <c r="F2" s="60" t="s">
        <v>650</v>
      </c>
    </row>
    <row r="3" spans="1:6" ht="14.25" customHeight="1" thickBot="1" x14ac:dyDescent="0.35">
      <c r="A3" s="58" t="s">
        <v>82</v>
      </c>
      <c r="B3" s="46">
        <v>45505</v>
      </c>
      <c r="C3" s="46">
        <v>45535</v>
      </c>
      <c r="D3" s="45" t="s">
        <v>677</v>
      </c>
      <c r="E3" s="59">
        <v>160000</v>
      </c>
      <c r="F3" s="60" t="s">
        <v>652</v>
      </c>
    </row>
    <row r="4" spans="1:6" ht="14.25" customHeight="1" thickBot="1" x14ac:dyDescent="0.35">
      <c r="A4" s="58" t="s">
        <v>99</v>
      </c>
      <c r="B4" s="46">
        <v>45570</v>
      </c>
      <c r="C4" s="46">
        <v>45601</v>
      </c>
      <c r="D4" s="45" t="s">
        <v>678</v>
      </c>
      <c r="E4" s="59">
        <v>220000</v>
      </c>
      <c r="F4" s="60" t="s">
        <v>654</v>
      </c>
    </row>
    <row r="5" spans="1:6" ht="14.25" customHeight="1" x14ac:dyDescent="0.3">
      <c r="A5" s="61" t="s">
        <v>115</v>
      </c>
      <c r="B5" s="62">
        <v>45667</v>
      </c>
      <c r="C5" s="62">
        <v>45698</v>
      </c>
      <c r="D5" s="63" t="s">
        <v>679</v>
      </c>
      <c r="E5" s="64">
        <v>200000</v>
      </c>
      <c r="F5" s="65" t="s">
        <v>656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5391-BB9F-487F-861B-D786B14D04F3}">
  <dimension ref="A1:N301"/>
  <sheetViews>
    <sheetView topLeftCell="A23" workbookViewId="0">
      <selection activeCell="Q10" sqref="Q10"/>
    </sheetView>
  </sheetViews>
  <sheetFormatPr defaultRowHeight="14.4" x14ac:dyDescent="0.3"/>
  <cols>
    <col min="1" max="4" width="8.88671875" style="15"/>
    <col min="5" max="5" width="14.88671875" style="15" customWidth="1"/>
    <col min="6" max="7" width="8.88671875" style="15"/>
    <col min="8" max="8" width="13.77734375" style="15" customWidth="1"/>
    <col min="9" max="9" width="17.6640625" style="15" customWidth="1"/>
    <col min="10" max="11" width="8.88671875" style="15"/>
    <col min="12" max="12" width="42.21875" style="15" customWidth="1"/>
    <col min="13" max="13" width="19.88671875" style="15" customWidth="1"/>
    <col min="14" max="14" width="18.77734375" style="15" customWidth="1"/>
    <col min="15" max="16384" width="8.88671875" style="15"/>
  </cols>
  <sheetData>
    <row r="1" spans="1:14" x14ac:dyDescent="0.3">
      <c r="A1" s="68" t="s">
        <v>64</v>
      </c>
      <c r="B1" s="68" t="s">
        <v>63</v>
      </c>
      <c r="C1" s="68" t="s">
        <v>65</v>
      </c>
      <c r="D1" s="68" t="s">
        <v>66</v>
      </c>
      <c r="E1" s="68" t="s">
        <v>67</v>
      </c>
      <c r="F1" s="68" t="s">
        <v>68</v>
      </c>
      <c r="G1" s="68" t="s">
        <v>69</v>
      </c>
      <c r="H1" s="68" t="s">
        <v>70</v>
      </c>
      <c r="I1" s="68" t="s">
        <v>71</v>
      </c>
      <c r="J1" s="68" t="s">
        <v>72</v>
      </c>
      <c r="K1" s="68" t="s">
        <v>73</v>
      </c>
      <c r="L1" s="69" t="s">
        <v>74</v>
      </c>
      <c r="M1" s="68" t="s">
        <v>75</v>
      </c>
      <c r="N1" s="70" t="s">
        <v>76</v>
      </c>
    </row>
    <row r="2" spans="1:14" x14ac:dyDescent="0.3">
      <c r="A2" s="15" t="s">
        <v>77</v>
      </c>
      <c r="B2" s="15" t="s">
        <v>3</v>
      </c>
      <c r="C2" s="15" t="s">
        <v>78</v>
      </c>
      <c r="D2" s="15" t="s">
        <v>79</v>
      </c>
      <c r="E2" s="15" t="s">
        <v>80</v>
      </c>
      <c r="F2" s="15">
        <v>1461</v>
      </c>
      <c r="G2" s="15">
        <v>184</v>
      </c>
      <c r="H2" s="15">
        <v>344</v>
      </c>
      <c r="I2" s="15">
        <v>21915</v>
      </c>
      <c r="J2" s="15">
        <v>21675</v>
      </c>
      <c r="K2" s="15">
        <v>15</v>
      </c>
      <c r="L2" s="15" t="s">
        <v>81</v>
      </c>
      <c r="M2" s="15" t="s">
        <v>82</v>
      </c>
      <c r="N2" s="15">
        <f>SUM(F2,G2,H2)</f>
        <v>1989</v>
      </c>
    </row>
    <row r="3" spans="1:14" x14ac:dyDescent="0.3">
      <c r="A3" s="15" t="s">
        <v>83</v>
      </c>
      <c r="B3" s="15" t="s">
        <v>3</v>
      </c>
      <c r="C3" s="15" t="s">
        <v>84</v>
      </c>
      <c r="D3" s="15" t="s">
        <v>85</v>
      </c>
      <c r="E3" s="15" t="s">
        <v>86</v>
      </c>
      <c r="F3" s="15">
        <v>4054</v>
      </c>
      <c r="G3" s="15">
        <v>389</v>
      </c>
      <c r="H3" s="15">
        <v>493</v>
      </c>
      <c r="I3" s="15">
        <v>64864</v>
      </c>
      <c r="J3" s="15">
        <v>64383</v>
      </c>
      <c r="K3" s="15">
        <v>117</v>
      </c>
      <c r="L3" s="15" t="s">
        <v>87</v>
      </c>
      <c r="M3" s="15" t="s">
        <v>88</v>
      </c>
      <c r="N3" s="15">
        <f t="shared" ref="N3:N66" si="0">SUM(F3,G3,H3)</f>
        <v>4936</v>
      </c>
    </row>
    <row r="4" spans="1:14" x14ac:dyDescent="0.3">
      <c r="A4" s="15" t="s">
        <v>89</v>
      </c>
      <c r="B4" s="15" t="s">
        <v>4</v>
      </c>
      <c r="C4" s="15" t="s">
        <v>90</v>
      </c>
      <c r="D4" s="15" t="s">
        <v>79</v>
      </c>
      <c r="E4" s="15" t="s">
        <v>80</v>
      </c>
      <c r="F4" s="15">
        <v>2795</v>
      </c>
      <c r="G4" s="15">
        <v>105</v>
      </c>
      <c r="H4" s="15">
        <v>49</v>
      </c>
      <c r="I4" s="15">
        <v>53105</v>
      </c>
      <c r="J4" s="15">
        <v>52307</v>
      </c>
      <c r="K4" s="15">
        <v>204</v>
      </c>
      <c r="L4" s="15" t="s">
        <v>91</v>
      </c>
      <c r="M4" s="15" t="s">
        <v>82</v>
      </c>
      <c r="N4" s="15">
        <f t="shared" si="0"/>
        <v>2949</v>
      </c>
    </row>
    <row r="5" spans="1:14" x14ac:dyDescent="0.3">
      <c r="A5" s="15" t="s">
        <v>92</v>
      </c>
      <c r="B5" s="15" t="s">
        <v>2</v>
      </c>
      <c r="C5" s="15" t="s">
        <v>93</v>
      </c>
      <c r="D5" s="15" t="s">
        <v>94</v>
      </c>
      <c r="E5" s="15" t="s">
        <v>95</v>
      </c>
      <c r="F5" s="15">
        <v>2404</v>
      </c>
      <c r="G5" s="15">
        <v>363</v>
      </c>
      <c r="H5" s="15">
        <v>138</v>
      </c>
      <c r="I5" s="15">
        <v>19232</v>
      </c>
      <c r="J5" s="15">
        <v>18636</v>
      </c>
      <c r="K5" s="15">
        <v>128</v>
      </c>
      <c r="L5" s="15" t="s">
        <v>81</v>
      </c>
      <c r="M5" s="15" t="s">
        <v>82</v>
      </c>
      <c r="N5" s="15">
        <f t="shared" si="0"/>
        <v>2905</v>
      </c>
    </row>
    <row r="6" spans="1:14" x14ac:dyDescent="0.3">
      <c r="A6" s="15" t="s">
        <v>96</v>
      </c>
      <c r="B6" s="15" t="s">
        <v>4</v>
      </c>
      <c r="C6" s="15" t="s">
        <v>97</v>
      </c>
      <c r="D6" s="15" t="s">
        <v>79</v>
      </c>
      <c r="E6" s="15" t="s">
        <v>80</v>
      </c>
      <c r="F6" s="15">
        <v>3557</v>
      </c>
      <c r="G6" s="15">
        <v>687</v>
      </c>
      <c r="H6" s="15">
        <v>424</v>
      </c>
      <c r="I6" s="15">
        <v>71140</v>
      </c>
      <c r="J6" s="15">
        <v>70701</v>
      </c>
      <c r="K6" s="15">
        <v>224</v>
      </c>
      <c r="L6" s="15" t="s">
        <v>98</v>
      </c>
      <c r="M6" s="15" t="s">
        <v>99</v>
      </c>
      <c r="N6" s="15">
        <f t="shared" si="0"/>
        <v>4668</v>
      </c>
    </row>
    <row r="7" spans="1:14" x14ac:dyDescent="0.3">
      <c r="A7" s="15" t="s">
        <v>100</v>
      </c>
      <c r="B7" s="15" t="s">
        <v>1</v>
      </c>
      <c r="C7" s="15" t="s">
        <v>101</v>
      </c>
      <c r="D7" s="15" t="s">
        <v>102</v>
      </c>
      <c r="E7" s="15" t="s">
        <v>103</v>
      </c>
      <c r="F7" s="15">
        <v>2945</v>
      </c>
      <c r="G7" s="15">
        <v>930</v>
      </c>
      <c r="H7" s="15">
        <v>355</v>
      </c>
      <c r="I7" s="15">
        <v>23560</v>
      </c>
      <c r="J7" s="15">
        <v>23275</v>
      </c>
      <c r="K7" s="15">
        <v>256</v>
      </c>
      <c r="L7" s="15" t="s">
        <v>104</v>
      </c>
      <c r="M7" s="15" t="s">
        <v>88</v>
      </c>
      <c r="N7" s="15">
        <f t="shared" si="0"/>
        <v>4230</v>
      </c>
    </row>
    <row r="8" spans="1:14" x14ac:dyDescent="0.3">
      <c r="A8" s="15" t="s">
        <v>105</v>
      </c>
      <c r="B8" s="15" t="s">
        <v>3</v>
      </c>
      <c r="C8" s="15" t="s">
        <v>106</v>
      </c>
      <c r="D8" s="15" t="s">
        <v>102</v>
      </c>
      <c r="E8" s="15" t="s">
        <v>103</v>
      </c>
      <c r="F8" s="15">
        <v>3860</v>
      </c>
      <c r="G8" s="15">
        <v>201</v>
      </c>
      <c r="H8" s="15">
        <v>279</v>
      </c>
      <c r="I8" s="15">
        <v>61760</v>
      </c>
      <c r="J8" s="15">
        <v>61660</v>
      </c>
      <c r="K8" s="15">
        <v>235</v>
      </c>
      <c r="L8" s="15" t="s">
        <v>104</v>
      </c>
      <c r="M8" s="15" t="s">
        <v>99</v>
      </c>
      <c r="N8" s="15">
        <f t="shared" si="0"/>
        <v>4340</v>
      </c>
    </row>
    <row r="9" spans="1:14" x14ac:dyDescent="0.3">
      <c r="A9" s="15" t="s">
        <v>107</v>
      </c>
      <c r="B9" s="15" t="s">
        <v>4</v>
      </c>
      <c r="C9" s="15" t="s">
        <v>108</v>
      </c>
      <c r="D9" s="15" t="s">
        <v>109</v>
      </c>
      <c r="E9" s="15" t="s">
        <v>110</v>
      </c>
      <c r="F9" s="15">
        <v>3929</v>
      </c>
      <c r="G9" s="15">
        <v>262</v>
      </c>
      <c r="H9" s="15">
        <v>278</v>
      </c>
      <c r="I9" s="15">
        <v>43219</v>
      </c>
      <c r="J9" s="15">
        <v>42841</v>
      </c>
      <c r="K9" s="15">
        <v>39</v>
      </c>
      <c r="L9" s="15" t="s">
        <v>91</v>
      </c>
      <c r="M9" s="15" t="s">
        <v>99</v>
      </c>
      <c r="N9" s="15">
        <f t="shared" si="0"/>
        <v>4469</v>
      </c>
    </row>
    <row r="10" spans="1:14" x14ac:dyDescent="0.3">
      <c r="A10" s="15" t="s">
        <v>111</v>
      </c>
      <c r="B10" s="15" t="s">
        <v>1</v>
      </c>
      <c r="C10" s="15" t="s">
        <v>112</v>
      </c>
      <c r="D10" s="15" t="s">
        <v>85</v>
      </c>
      <c r="E10" s="15" t="s">
        <v>86</v>
      </c>
      <c r="F10" s="15">
        <v>3784</v>
      </c>
      <c r="G10" s="15">
        <v>808</v>
      </c>
      <c r="H10" s="15">
        <v>404</v>
      </c>
      <c r="I10" s="15">
        <v>56760</v>
      </c>
      <c r="J10" s="15">
        <v>56343</v>
      </c>
      <c r="K10" s="15">
        <v>131</v>
      </c>
      <c r="L10" s="15" t="s">
        <v>91</v>
      </c>
      <c r="M10" s="15" t="s">
        <v>99</v>
      </c>
      <c r="N10" s="15">
        <f t="shared" si="0"/>
        <v>4996</v>
      </c>
    </row>
    <row r="11" spans="1:14" x14ac:dyDescent="0.3">
      <c r="A11" s="15" t="s">
        <v>113</v>
      </c>
      <c r="B11" s="15" t="s">
        <v>1</v>
      </c>
      <c r="C11" s="15" t="s">
        <v>114</v>
      </c>
      <c r="D11" s="15" t="s">
        <v>109</v>
      </c>
      <c r="E11" s="15" t="s">
        <v>110</v>
      </c>
      <c r="F11" s="15">
        <v>4241</v>
      </c>
      <c r="G11" s="15">
        <v>902</v>
      </c>
      <c r="H11" s="15">
        <v>47</v>
      </c>
      <c r="I11" s="15">
        <v>72097</v>
      </c>
      <c r="J11" s="15">
        <v>71598</v>
      </c>
      <c r="K11" s="15">
        <v>167</v>
      </c>
      <c r="L11" s="15" t="s">
        <v>104</v>
      </c>
      <c r="M11" s="15" t="s">
        <v>115</v>
      </c>
      <c r="N11" s="15">
        <f t="shared" si="0"/>
        <v>5190</v>
      </c>
    </row>
    <row r="12" spans="1:14" x14ac:dyDescent="0.3">
      <c r="A12" s="15" t="s">
        <v>116</v>
      </c>
      <c r="B12" s="15" t="s">
        <v>2</v>
      </c>
      <c r="C12" s="15" t="s">
        <v>117</v>
      </c>
      <c r="D12" s="15" t="s">
        <v>94</v>
      </c>
      <c r="E12" s="15" t="s">
        <v>95</v>
      </c>
      <c r="F12" s="15">
        <v>1792</v>
      </c>
      <c r="G12" s="15">
        <v>614</v>
      </c>
      <c r="H12" s="15">
        <v>497</v>
      </c>
      <c r="I12" s="15">
        <v>25088</v>
      </c>
      <c r="J12" s="15">
        <v>24675</v>
      </c>
      <c r="K12" s="15">
        <v>65</v>
      </c>
      <c r="L12" s="15" t="s">
        <v>118</v>
      </c>
      <c r="M12" s="15" t="s">
        <v>82</v>
      </c>
      <c r="N12" s="15">
        <f t="shared" si="0"/>
        <v>2903</v>
      </c>
    </row>
    <row r="13" spans="1:14" x14ac:dyDescent="0.3">
      <c r="A13" s="15" t="s">
        <v>119</v>
      </c>
      <c r="B13" s="15" t="s">
        <v>1</v>
      </c>
      <c r="C13" s="15" t="s">
        <v>120</v>
      </c>
      <c r="D13" s="15" t="s">
        <v>79</v>
      </c>
      <c r="E13" s="15" t="s">
        <v>80</v>
      </c>
      <c r="F13" s="15">
        <v>1946</v>
      </c>
      <c r="G13" s="15">
        <v>686</v>
      </c>
      <c r="H13" s="15">
        <v>377</v>
      </c>
      <c r="I13" s="15">
        <v>23352</v>
      </c>
      <c r="J13" s="15">
        <v>22982</v>
      </c>
      <c r="K13" s="15">
        <v>213</v>
      </c>
      <c r="L13" s="15" t="s">
        <v>121</v>
      </c>
      <c r="M13" s="15" t="s">
        <v>99</v>
      </c>
      <c r="N13" s="15">
        <f t="shared" si="0"/>
        <v>3009</v>
      </c>
    </row>
    <row r="14" spans="1:14" x14ac:dyDescent="0.3">
      <c r="A14" s="15" t="s">
        <v>122</v>
      </c>
      <c r="B14" s="15" t="s">
        <v>4</v>
      </c>
      <c r="C14" s="15" t="s">
        <v>123</v>
      </c>
      <c r="D14" s="15" t="s">
        <v>102</v>
      </c>
      <c r="E14" s="15" t="s">
        <v>103</v>
      </c>
      <c r="F14" s="15">
        <v>1171</v>
      </c>
      <c r="G14" s="15">
        <v>286</v>
      </c>
      <c r="H14" s="15">
        <v>231</v>
      </c>
      <c r="I14" s="15">
        <v>22249</v>
      </c>
      <c r="J14" s="15">
        <v>21282</v>
      </c>
      <c r="K14" s="15">
        <v>114</v>
      </c>
      <c r="L14" s="15" t="s">
        <v>87</v>
      </c>
      <c r="M14" s="15" t="s">
        <v>115</v>
      </c>
      <c r="N14" s="15">
        <f t="shared" si="0"/>
        <v>1688</v>
      </c>
    </row>
    <row r="15" spans="1:14" x14ac:dyDescent="0.3">
      <c r="A15" s="15" t="s">
        <v>124</v>
      </c>
      <c r="B15" s="15" t="s">
        <v>1</v>
      </c>
      <c r="C15" s="15" t="s">
        <v>125</v>
      </c>
      <c r="D15" s="15" t="s">
        <v>94</v>
      </c>
      <c r="E15" s="15" t="s">
        <v>95</v>
      </c>
      <c r="F15" s="15">
        <v>4242</v>
      </c>
      <c r="G15" s="15">
        <v>555</v>
      </c>
      <c r="H15" s="15">
        <v>131</v>
      </c>
      <c r="I15" s="15">
        <v>33936</v>
      </c>
      <c r="J15" s="15">
        <v>33802</v>
      </c>
      <c r="K15" s="15">
        <v>265</v>
      </c>
      <c r="L15" s="15" t="s">
        <v>126</v>
      </c>
      <c r="M15" s="15" t="s">
        <v>99</v>
      </c>
      <c r="N15" s="15">
        <f t="shared" si="0"/>
        <v>4928</v>
      </c>
    </row>
    <row r="16" spans="1:14" x14ac:dyDescent="0.3">
      <c r="A16" s="15" t="s">
        <v>127</v>
      </c>
      <c r="B16" s="15" t="s">
        <v>1</v>
      </c>
      <c r="C16" s="15" t="s">
        <v>128</v>
      </c>
      <c r="D16" s="15" t="s">
        <v>129</v>
      </c>
      <c r="E16" s="15" t="s">
        <v>130</v>
      </c>
      <c r="F16" s="15">
        <v>3888</v>
      </c>
      <c r="G16" s="15">
        <v>604</v>
      </c>
      <c r="H16" s="15">
        <v>128</v>
      </c>
      <c r="I16" s="15">
        <v>77760</v>
      </c>
      <c r="J16" s="15">
        <v>77167</v>
      </c>
      <c r="K16" s="15">
        <v>20</v>
      </c>
      <c r="L16" s="15" t="s">
        <v>131</v>
      </c>
      <c r="M16" s="15" t="s">
        <v>82</v>
      </c>
      <c r="N16" s="15">
        <f t="shared" si="0"/>
        <v>4620</v>
      </c>
    </row>
    <row r="17" spans="1:14" x14ac:dyDescent="0.3">
      <c r="A17" s="15" t="s">
        <v>132</v>
      </c>
      <c r="B17" s="15" t="s">
        <v>1</v>
      </c>
      <c r="C17" s="15" t="s">
        <v>133</v>
      </c>
      <c r="D17" s="15" t="s">
        <v>85</v>
      </c>
      <c r="E17" s="15" t="s">
        <v>86</v>
      </c>
      <c r="F17" s="15">
        <v>3452</v>
      </c>
      <c r="G17" s="15">
        <v>377</v>
      </c>
      <c r="H17" s="15">
        <v>360</v>
      </c>
      <c r="I17" s="15">
        <v>55232</v>
      </c>
      <c r="J17" s="15">
        <v>55075</v>
      </c>
      <c r="K17" s="15">
        <v>87</v>
      </c>
      <c r="L17" s="15" t="s">
        <v>134</v>
      </c>
      <c r="M17" s="15" t="s">
        <v>99</v>
      </c>
      <c r="N17" s="15">
        <f t="shared" si="0"/>
        <v>4189</v>
      </c>
    </row>
    <row r="18" spans="1:14" x14ac:dyDescent="0.3">
      <c r="A18" s="15" t="s">
        <v>135</v>
      </c>
      <c r="B18" s="15" t="s">
        <v>1</v>
      </c>
      <c r="C18" s="15" t="s">
        <v>136</v>
      </c>
      <c r="D18" s="15" t="s">
        <v>85</v>
      </c>
      <c r="E18" s="15" t="s">
        <v>86</v>
      </c>
      <c r="F18" s="15">
        <v>4441</v>
      </c>
      <c r="G18" s="15">
        <v>511</v>
      </c>
      <c r="H18" s="15">
        <v>70</v>
      </c>
      <c r="I18" s="15">
        <v>53292</v>
      </c>
      <c r="J18" s="15">
        <v>53082</v>
      </c>
      <c r="K18" s="15">
        <v>159</v>
      </c>
      <c r="L18" s="15" t="s">
        <v>137</v>
      </c>
      <c r="M18" s="15" t="s">
        <v>99</v>
      </c>
      <c r="N18" s="15">
        <f t="shared" si="0"/>
        <v>5022</v>
      </c>
    </row>
    <row r="19" spans="1:14" x14ac:dyDescent="0.3">
      <c r="A19" s="15" t="s">
        <v>138</v>
      </c>
      <c r="B19" s="15" t="s">
        <v>2</v>
      </c>
      <c r="C19" s="15" t="s">
        <v>139</v>
      </c>
      <c r="D19" s="15" t="s">
        <v>79</v>
      </c>
      <c r="E19" s="15" t="s">
        <v>80</v>
      </c>
      <c r="F19" s="15">
        <v>3000</v>
      </c>
      <c r="G19" s="15">
        <v>382</v>
      </c>
      <c r="H19" s="15">
        <v>325</v>
      </c>
      <c r="I19" s="15">
        <v>36000</v>
      </c>
      <c r="J19" s="15">
        <v>35819</v>
      </c>
      <c r="K19" s="15">
        <v>19</v>
      </c>
      <c r="L19" s="15" t="s">
        <v>118</v>
      </c>
      <c r="M19" s="15" t="s">
        <v>88</v>
      </c>
      <c r="N19" s="15">
        <f t="shared" si="0"/>
        <v>3707</v>
      </c>
    </row>
    <row r="20" spans="1:14" x14ac:dyDescent="0.3">
      <c r="A20" s="15" t="s">
        <v>140</v>
      </c>
      <c r="B20" s="15" t="s">
        <v>2</v>
      </c>
      <c r="C20" s="15" t="s">
        <v>141</v>
      </c>
      <c r="D20" s="15" t="s">
        <v>129</v>
      </c>
      <c r="E20" s="15" t="s">
        <v>130</v>
      </c>
      <c r="F20" s="15">
        <v>1071</v>
      </c>
      <c r="G20" s="15">
        <v>519</v>
      </c>
      <c r="H20" s="15">
        <v>22</v>
      </c>
      <c r="I20" s="15">
        <v>16065</v>
      </c>
      <c r="J20" s="15">
        <v>15865</v>
      </c>
      <c r="K20" s="15">
        <v>103</v>
      </c>
      <c r="L20" s="15" t="s">
        <v>142</v>
      </c>
      <c r="M20" s="15" t="s">
        <v>99</v>
      </c>
      <c r="N20" s="15">
        <f t="shared" si="0"/>
        <v>1612</v>
      </c>
    </row>
    <row r="21" spans="1:14" x14ac:dyDescent="0.3">
      <c r="A21" s="15" t="s">
        <v>143</v>
      </c>
      <c r="B21" s="15" t="s">
        <v>2</v>
      </c>
      <c r="C21" s="15" t="s">
        <v>144</v>
      </c>
      <c r="D21" s="15" t="s">
        <v>102</v>
      </c>
      <c r="E21" s="15" t="s">
        <v>103</v>
      </c>
      <c r="F21" s="15">
        <v>4054</v>
      </c>
      <c r="G21" s="15">
        <v>488</v>
      </c>
      <c r="H21" s="15">
        <v>373</v>
      </c>
      <c r="I21" s="15">
        <v>77026</v>
      </c>
      <c r="J21" s="15">
        <v>76881</v>
      </c>
      <c r="K21" s="15">
        <v>25</v>
      </c>
      <c r="L21" s="15" t="s">
        <v>91</v>
      </c>
      <c r="M21" s="15" t="s">
        <v>99</v>
      </c>
      <c r="N21" s="15">
        <f t="shared" si="0"/>
        <v>4915</v>
      </c>
    </row>
    <row r="22" spans="1:14" x14ac:dyDescent="0.3">
      <c r="A22" s="15" t="s">
        <v>145</v>
      </c>
      <c r="B22" s="15" t="s">
        <v>2</v>
      </c>
      <c r="C22" s="15" t="s">
        <v>146</v>
      </c>
      <c r="D22" s="15" t="s">
        <v>79</v>
      </c>
      <c r="E22" s="15" t="s">
        <v>80</v>
      </c>
      <c r="F22" s="15">
        <v>4838</v>
      </c>
      <c r="G22" s="15">
        <v>640</v>
      </c>
      <c r="H22" s="15">
        <v>128</v>
      </c>
      <c r="I22" s="15">
        <v>72570</v>
      </c>
      <c r="J22" s="15">
        <v>72396</v>
      </c>
      <c r="K22" s="15">
        <v>83</v>
      </c>
      <c r="L22" s="15" t="s">
        <v>147</v>
      </c>
      <c r="M22" s="15" t="s">
        <v>99</v>
      </c>
      <c r="N22" s="15">
        <f t="shared" si="0"/>
        <v>5606</v>
      </c>
    </row>
    <row r="23" spans="1:14" x14ac:dyDescent="0.3">
      <c r="A23" s="15" t="s">
        <v>148</v>
      </c>
      <c r="B23" s="15" t="s">
        <v>1</v>
      </c>
      <c r="C23" s="15" t="s">
        <v>149</v>
      </c>
      <c r="D23" s="15" t="s">
        <v>85</v>
      </c>
      <c r="E23" s="15" t="s">
        <v>86</v>
      </c>
      <c r="F23" s="15">
        <v>1570</v>
      </c>
      <c r="G23" s="15">
        <v>187</v>
      </c>
      <c r="H23" s="15">
        <v>260</v>
      </c>
      <c r="I23" s="15">
        <v>25120</v>
      </c>
      <c r="J23" s="15">
        <v>24613</v>
      </c>
      <c r="K23" s="15">
        <v>133</v>
      </c>
      <c r="L23" s="15" t="s">
        <v>81</v>
      </c>
      <c r="M23" s="15" t="s">
        <v>115</v>
      </c>
      <c r="N23" s="15">
        <f t="shared" si="0"/>
        <v>2017</v>
      </c>
    </row>
    <row r="24" spans="1:14" x14ac:dyDescent="0.3">
      <c r="A24" s="15" t="s">
        <v>150</v>
      </c>
      <c r="B24" s="15" t="s">
        <v>1</v>
      </c>
      <c r="C24" s="15" t="s">
        <v>151</v>
      </c>
      <c r="D24" s="15" t="s">
        <v>129</v>
      </c>
      <c r="E24" s="15" t="s">
        <v>130</v>
      </c>
      <c r="F24" s="15">
        <v>1606</v>
      </c>
      <c r="G24" s="15">
        <v>547</v>
      </c>
      <c r="H24" s="15">
        <v>316</v>
      </c>
      <c r="I24" s="15">
        <v>32120</v>
      </c>
      <c r="J24" s="15">
        <v>31736</v>
      </c>
      <c r="K24" s="15">
        <v>225</v>
      </c>
      <c r="L24" s="15" t="s">
        <v>81</v>
      </c>
      <c r="M24" s="15" t="s">
        <v>99</v>
      </c>
      <c r="N24" s="15">
        <f t="shared" si="0"/>
        <v>2469</v>
      </c>
    </row>
    <row r="25" spans="1:14" x14ac:dyDescent="0.3">
      <c r="A25" s="15" t="s">
        <v>152</v>
      </c>
      <c r="B25" s="15" t="s">
        <v>1</v>
      </c>
      <c r="C25" s="15" t="s">
        <v>153</v>
      </c>
      <c r="D25" s="15" t="s">
        <v>129</v>
      </c>
      <c r="E25" s="15" t="s">
        <v>130</v>
      </c>
      <c r="F25" s="15">
        <v>3961</v>
      </c>
      <c r="G25" s="15">
        <v>761</v>
      </c>
      <c r="H25" s="15">
        <v>131</v>
      </c>
      <c r="I25" s="15">
        <v>67337</v>
      </c>
      <c r="J25" s="15">
        <v>66615</v>
      </c>
      <c r="K25" s="15">
        <v>161</v>
      </c>
      <c r="L25" s="15" t="s">
        <v>104</v>
      </c>
      <c r="M25" s="15" t="s">
        <v>88</v>
      </c>
      <c r="N25" s="15">
        <f t="shared" si="0"/>
        <v>4853</v>
      </c>
    </row>
    <row r="26" spans="1:14" x14ac:dyDescent="0.3">
      <c r="A26" s="15" t="s">
        <v>154</v>
      </c>
      <c r="B26" s="15" t="s">
        <v>3</v>
      </c>
      <c r="C26" s="15" t="s">
        <v>155</v>
      </c>
      <c r="D26" s="15" t="s">
        <v>102</v>
      </c>
      <c r="E26" s="15" t="s">
        <v>103</v>
      </c>
      <c r="F26" s="15">
        <v>3128</v>
      </c>
      <c r="G26" s="15">
        <v>211</v>
      </c>
      <c r="H26" s="15">
        <v>197</v>
      </c>
      <c r="I26" s="15">
        <v>59432</v>
      </c>
      <c r="J26" s="15">
        <v>59182</v>
      </c>
      <c r="K26" s="15">
        <v>238</v>
      </c>
      <c r="L26" s="15" t="s">
        <v>121</v>
      </c>
      <c r="M26" s="15" t="s">
        <v>82</v>
      </c>
      <c r="N26" s="15">
        <f t="shared" si="0"/>
        <v>3536</v>
      </c>
    </row>
    <row r="27" spans="1:14" x14ac:dyDescent="0.3">
      <c r="A27" s="15" t="s">
        <v>156</v>
      </c>
      <c r="B27" s="15" t="s">
        <v>4</v>
      </c>
      <c r="C27" s="15" t="s">
        <v>157</v>
      </c>
      <c r="D27" s="15" t="s">
        <v>79</v>
      </c>
      <c r="E27" s="15" t="s">
        <v>80</v>
      </c>
      <c r="F27" s="15">
        <v>3009</v>
      </c>
      <c r="G27" s="15">
        <v>413</v>
      </c>
      <c r="H27" s="15">
        <v>358</v>
      </c>
      <c r="I27" s="15">
        <v>42126</v>
      </c>
      <c r="J27" s="15">
        <v>41309</v>
      </c>
      <c r="K27" s="15">
        <v>211</v>
      </c>
      <c r="L27" s="15" t="s">
        <v>81</v>
      </c>
      <c r="M27" s="15" t="s">
        <v>88</v>
      </c>
      <c r="N27" s="15">
        <f t="shared" si="0"/>
        <v>3780</v>
      </c>
    </row>
    <row r="28" spans="1:14" x14ac:dyDescent="0.3">
      <c r="A28" s="15" t="s">
        <v>158</v>
      </c>
      <c r="B28" s="15" t="s">
        <v>4</v>
      </c>
      <c r="C28" s="15" t="s">
        <v>159</v>
      </c>
      <c r="D28" s="15" t="s">
        <v>85</v>
      </c>
      <c r="E28" s="15" t="s">
        <v>86</v>
      </c>
      <c r="F28" s="15">
        <v>2076</v>
      </c>
      <c r="G28" s="15">
        <v>195</v>
      </c>
      <c r="H28" s="15">
        <v>104</v>
      </c>
      <c r="I28" s="15">
        <v>33216</v>
      </c>
      <c r="J28" s="15">
        <v>32244</v>
      </c>
      <c r="K28" s="15">
        <v>51</v>
      </c>
      <c r="L28" s="15" t="s">
        <v>104</v>
      </c>
      <c r="M28" s="15" t="s">
        <v>115</v>
      </c>
      <c r="N28" s="15">
        <f t="shared" si="0"/>
        <v>2375</v>
      </c>
    </row>
    <row r="29" spans="1:14" x14ac:dyDescent="0.3">
      <c r="A29" s="15" t="s">
        <v>160</v>
      </c>
      <c r="B29" s="15" t="s">
        <v>2</v>
      </c>
      <c r="C29" s="15" t="s">
        <v>161</v>
      </c>
      <c r="D29" s="15" t="s">
        <v>129</v>
      </c>
      <c r="E29" s="15" t="s">
        <v>130</v>
      </c>
      <c r="F29" s="15">
        <v>432</v>
      </c>
      <c r="G29" s="15">
        <v>624</v>
      </c>
      <c r="H29" s="15">
        <v>123</v>
      </c>
      <c r="I29" s="15">
        <v>6912</v>
      </c>
      <c r="J29" s="15">
        <v>6259</v>
      </c>
      <c r="K29" s="15">
        <v>79</v>
      </c>
      <c r="L29" s="15" t="s">
        <v>162</v>
      </c>
      <c r="M29" s="15" t="s">
        <v>88</v>
      </c>
      <c r="N29" s="15">
        <f t="shared" si="0"/>
        <v>1179</v>
      </c>
    </row>
    <row r="30" spans="1:14" x14ac:dyDescent="0.3">
      <c r="A30" s="15" t="s">
        <v>163</v>
      </c>
      <c r="B30" s="15" t="s">
        <v>2</v>
      </c>
      <c r="C30" s="15" t="s">
        <v>164</v>
      </c>
      <c r="D30" s="15" t="s">
        <v>102</v>
      </c>
      <c r="E30" s="15" t="s">
        <v>103</v>
      </c>
      <c r="F30" s="15">
        <v>2566</v>
      </c>
      <c r="G30" s="15">
        <v>118</v>
      </c>
      <c r="H30" s="15">
        <v>37</v>
      </c>
      <c r="I30" s="15">
        <v>12830</v>
      </c>
      <c r="J30" s="15">
        <v>12264</v>
      </c>
      <c r="K30" s="15">
        <v>221</v>
      </c>
      <c r="L30" s="15" t="s">
        <v>165</v>
      </c>
      <c r="M30" s="15" t="s">
        <v>99</v>
      </c>
      <c r="N30" s="15">
        <f t="shared" si="0"/>
        <v>2721</v>
      </c>
    </row>
    <row r="31" spans="1:14" x14ac:dyDescent="0.3">
      <c r="A31" s="15" t="s">
        <v>166</v>
      </c>
      <c r="B31" s="15" t="s">
        <v>2</v>
      </c>
      <c r="C31" s="15" t="s">
        <v>167</v>
      </c>
      <c r="D31" s="15" t="s">
        <v>129</v>
      </c>
      <c r="E31" s="15" t="s">
        <v>130</v>
      </c>
      <c r="F31" s="15">
        <v>3095</v>
      </c>
      <c r="G31" s="15">
        <v>39</v>
      </c>
      <c r="H31" s="15">
        <v>78</v>
      </c>
      <c r="I31" s="15">
        <v>55710</v>
      </c>
      <c r="J31" s="15">
        <v>54808</v>
      </c>
      <c r="K31" s="15">
        <v>93</v>
      </c>
      <c r="L31" s="15" t="s">
        <v>81</v>
      </c>
      <c r="M31" s="15" t="s">
        <v>115</v>
      </c>
      <c r="N31" s="15">
        <f t="shared" si="0"/>
        <v>3212</v>
      </c>
    </row>
    <row r="32" spans="1:14" x14ac:dyDescent="0.3">
      <c r="A32" s="15" t="s">
        <v>168</v>
      </c>
      <c r="B32" s="15" t="s">
        <v>2</v>
      </c>
      <c r="C32" s="15" t="s">
        <v>169</v>
      </c>
      <c r="D32" s="15" t="s">
        <v>85</v>
      </c>
      <c r="E32" s="15" t="s">
        <v>86</v>
      </c>
      <c r="F32" s="15">
        <v>438</v>
      </c>
      <c r="G32" s="15">
        <v>153</v>
      </c>
      <c r="H32" s="15">
        <v>275</v>
      </c>
      <c r="I32" s="15">
        <v>3066</v>
      </c>
      <c r="J32" s="15">
        <v>2701</v>
      </c>
      <c r="K32" s="15">
        <v>282</v>
      </c>
      <c r="L32" s="15" t="s">
        <v>104</v>
      </c>
      <c r="M32" s="15" t="s">
        <v>115</v>
      </c>
      <c r="N32" s="15">
        <f t="shared" si="0"/>
        <v>866</v>
      </c>
    </row>
    <row r="33" spans="1:14" x14ac:dyDescent="0.3">
      <c r="A33" s="15" t="s">
        <v>170</v>
      </c>
      <c r="B33" s="15" t="s">
        <v>3</v>
      </c>
      <c r="C33" s="15" t="s">
        <v>171</v>
      </c>
      <c r="D33" s="15" t="s">
        <v>102</v>
      </c>
      <c r="E33" s="15" t="s">
        <v>103</v>
      </c>
      <c r="F33" s="15">
        <v>2278</v>
      </c>
      <c r="G33" s="15">
        <v>10</v>
      </c>
      <c r="H33" s="15">
        <v>321</v>
      </c>
      <c r="I33" s="15">
        <v>13668</v>
      </c>
      <c r="J33" s="15">
        <v>12676</v>
      </c>
      <c r="K33" s="15">
        <v>275</v>
      </c>
      <c r="L33" s="15" t="s">
        <v>165</v>
      </c>
      <c r="M33" s="15" t="s">
        <v>115</v>
      </c>
      <c r="N33" s="15">
        <f t="shared" si="0"/>
        <v>2609</v>
      </c>
    </row>
    <row r="34" spans="1:14" x14ac:dyDescent="0.3">
      <c r="A34" s="15" t="s">
        <v>172</v>
      </c>
      <c r="B34" s="15" t="s">
        <v>1</v>
      </c>
      <c r="C34" s="15" t="s">
        <v>173</v>
      </c>
      <c r="D34" s="15" t="s">
        <v>109</v>
      </c>
      <c r="E34" s="15" t="s">
        <v>110</v>
      </c>
      <c r="F34" s="15">
        <v>1407</v>
      </c>
      <c r="G34" s="15">
        <v>400</v>
      </c>
      <c r="H34" s="15">
        <v>351</v>
      </c>
      <c r="I34" s="15">
        <v>16884</v>
      </c>
      <c r="J34" s="15">
        <v>15954</v>
      </c>
      <c r="K34" s="15">
        <v>113</v>
      </c>
      <c r="L34" s="15" t="s">
        <v>131</v>
      </c>
      <c r="M34" s="15" t="s">
        <v>99</v>
      </c>
      <c r="N34" s="15">
        <f t="shared" si="0"/>
        <v>2158</v>
      </c>
    </row>
    <row r="35" spans="1:14" x14ac:dyDescent="0.3">
      <c r="A35" s="15" t="s">
        <v>174</v>
      </c>
      <c r="B35" s="15" t="s">
        <v>1</v>
      </c>
      <c r="C35" s="15" t="s">
        <v>175</v>
      </c>
      <c r="D35" s="15" t="s">
        <v>85</v>
      </c>
      <c r="E35" s="15" t="s">
        <v>86</v>
      </c>
      <c r="F35" s="15">
        <v>1652</v>
      </c>
      <c r="G35" s="15">
        <v>89</v>
      </c>
      <c r="H35" s="15">
        <v>357</v>
      </c>
      <c r="I35" s="15">
        <v>29736</v>
      </c>
      <c r="J35" s="15">
        <v>28771</v>
      </c>
      <c r="K35" s="15">
        <v>215</v>
      </c>
      <c r="L35" s="15" t="s">
        <v>176</v>
      </c>
      <c r="M35" s="15" t="s">
        <v>88</v>
      </c>
      <c r="N35" s="15">
        <f t="shared" si="0"/>
        <v>2098</v>
      </c>
    </row>
    <row r="36" spans="1:14" x14ac:dyDescent="0.3">
      <c r="A36" s="15" t="s">
        <v>177</v>
      </c>
      <c r="B36" s="15" t="s">
        <v>2</v>
      </c>
      <c r="C36" s="15" t="s">
        <v>178</v>
      </c>
      <c r="D36" s="15" t="s">
        <v>129</v>
      </c>
      <c r="E36" s="15" t="s">
        <v>130</v>
      </c>
      <c r="F36" s="15">
        <v>3775</v>
      </c>
      <c r="G36" s="15">
        <v>16</v>
      </c>
      <c r="H36" s="15">
        <v>239</v>
      </c>
      <c r="I36" s="15">
        <v>33975</v>
      </c>
      <c r="J36" s="15">
        <v>33310</v>
      </c>
      <c r="K36" s="15">
        <v>271</v>
      </c>
      <c r="L36" s="15" t="s">
        <v>121</v>
      </c>
      <c r="M36" s="15" t="s">
        <v>99</v>
      </c>
      <c r="N36" s="15">
        <f t="shared" si="0"/>
        <v>4030</v>
      </c>
    </row>
    <row r="37" spans="1:14" x14ac:dyDescent="0.3">
      <c r="A37" s="15" t="s">
        <v>179</v>
      </c>
      <c r="B37" s="15" t="s">
        <v>2</v>
      </c>
      <c r="C37" s="15" t="s">
        <v>180</v>
      </c>
      <c r="D37" s="15" t="s">
        <v>94</v>
      </c>
      <c r="E37" s="15" t="s">
        <v>95</v>
      </c>
      <c r="F37" s="15">
        <v>4518</v>
      </c>
      <c r="G37" s="15">
        <v>285</v>
      </c>
      <c r="H37" s="15">
        <v>383</v>
      </c>
      <c r="I37" s="15">
        <v>67770</v>
      </c>
      <c r="J37" s="15">
        <v>67621</v>
      </c>
      <c r="K37" s="15">
        <v>31</v>
      </c>
      <c r="L37" s="15" t="s">
        <v>137</v>
      </c>
      <c r="M37" s="15" t="s">
        <v>88</v>
      </c>
      <c r="N37" s="15">
        <f t="shared" si="0"/>
        <v>5186</v>
      </c>
    </row>
    <row r="38" spans="1:14" x14ac:dyDescent="0.3">
      <c r="A38" s="15" t="s">
        <v>181</v>
      </c>
      <c r="B38" s="15" t="s">
        <v>1</v>
      </c>
      <c r="C38" s="15" t="s">
        <v>182</v>
      </c>
      <c r="D38" s="15" t="s">
        <v>102</v>
      </c>
      <c r="E38" s="15" t="s">
        <v>103</v>
      </c>
      <c r="F38" s="15">
        <v>3024</v>
      </c>
      <c r="G38" s="15">
        <v>925</v>
      </c>
      <c r="H38" s="15">
        <v>350</v>
      </c>
      <c r="I38" s="15">
        <v>24192</v>
      </c>
      <c r="J38" s="15">
        <v>23518</v>
      </c>
      <c r="K38" s="15">
        <v>36</v>
      </c>
      <c r="L38" s="15" t="s">
        <v>81</v>
      </c>
      <c r="M38" s="15" t="s">
        <v>99</v>
      </c>
      <c r="N38" s="15">
        <f t="shared" si="0"/>
        <v>4299</v>
      </c>
    </row>
    <row r="39" spans="1:14" x14ac:dyDescent="0.3">
      <c r="A39" s="15" t="s">
        <v>183</v>
      </c>
      <c r="B39" s="15" t="s">
        <v>4</v>
      </c>
      <c r="C39" s="15" t="s">
        <v>184</v>
      </c>
      <c r="D39" s="15" t="s">
        <v>79</v>
      </c>
      <c r="E39" s="15" t="s">
        <v>80</v>
      </c>
      <c r="F39" s="15">
        <v>3138</v>
      </c>
      <c r="G39" s="15">
        <v>123</v>
      </c>
      <c r="H39" s="15">
        <v>291</v>
      </c>
      <c r="I39" s="15">
        <v>28242</v>
      </c>
      <c r="J39" s="15">
        <v>27550</v>
      </c>
      <c r="K39" s="15">
        <v>87</v>
      </c>
      <c r="L39" s="15" t="s">
        <v>137</v>
      </c>
      <c r="M39" s="15" t="s">
        <v>115</v>
      </c>
      <c r="N39" s="15">
        <f t="shared" si="0"/>
        <v>3552</v>
      </c>
    </row>
    <row r="40" spans="1:14" x14ac:dyDescent="0.3">
      <c r="A40" s="15" t="s">
        <v>185</v>
      </c>
      <c r="B40" s="15" t="s">
        <v>1</v>
      </c>
      <c r="C40" s="15" t="s">
        <v>186</v>
      </c>
      <c r="D40" s="15" t="s">
        <v>109</v>
      </c>
      <c r="E40" s="15" t="s">
        <v>110</v>
      </c>
      <c r="F40" s="15">
        <v>3564</v>
      </c>
      <c r="G40" s="15">
        <v>629</v>
      </c>
      <c r="H40" s="15">
        <v>177</v>
      </c>
      <c r="I40" s="15">
        <v>60588</v>
      </c>
      <c r="J40" s="15">
        <v>59627</v>
      </c>
      <c r="K40" s="15">
        <v>92</v>
      </c>
      <c r="L40" s="15" t="s">
        <v>187</v>
      </c>
      <c r="M40" s="15" t="s">
        <v>99</v>
      </c>
      <c r="N40" s="15">
        <f t="shared" si="0"/>
        <v>4370</v>
      </c>
    </row>
    <row r="41" spans="1:14" x14ac:dyDescent="0.3">
      <c r="A41" s="15" t="s">
        <v>188</v>
      </c>
      <c r="B41" s="15" t="s">
        <v>3</v>
      </c>
      <c r="C41" s="15" t="s">
        <v>189</v>
      </c>
      <c r="D41" s="15" t="s">
        <v>109</v>
      </c>
      <c r="E41" s="15" t="s">
        <v>110</v>
      </c>
      <c r="F41" s="15">
        <v>4750</v>
      </c>
      <c r="G41" s="15">
        <v>151</v>
      </c>
      <c r="H41" s="15">
        <v>415</v>
      </c>
      <c r="I41" s="15">
        <v>38000</v>
      </c>
      <c r="J41" s="15">
        <v>37792</v>
      </c>
      <c r="K41" s="15">
        <v>299</v>
      </c>
      <c r="L41" s="15" t="s">
        <v>121</v>
      </c>
      <c r="M41" s="15" t="s">
        <v>88</v>
      </c>
      <c r="N41" s="15">
        <f t="shared" si="0"/>
        <v>5316</v>
      </c>
    </row>
    <row r="42" spans="1:14" x14ac:dyDescent="0.3">
      <c r="A42" s="15" t="s">
        <v>190</v>
      </c>
      <c r="B42" s="15" t="s">
        <v>2</v>
      </c>
      <c r="C42" s="15" t="s">
        <v>191</v>
      </c>
      <c r="D42" s="15" t="s">
        <v>79</v>
      </c>
      <c r="E42" s="15" t="s">
        <v>80</v>
      </c>
      <c r="F42" s="15">
        <v>456</v>
      </c>
      <c r="G42" s="15">
        <v>629</v>
      </c>
      <c r="H42" s="15">
        <v>428</v>
      </c>
      <c r="I42" s="15">
        <v>8208</v>
      </c>
      <c r="J42" s="15">
        <v>7377</v>
      </c>
      <c r="K42" s="15">
        <v>205</v>
      </c>
      <c r="L42" s="15" t="s">
        <v>134</v>
      </c>
      <c r="M42" s="15" t="s">
        <v>99</v>
      </c>
      <c r="N42" s="15">
        <f t="shared" si="0"/>
        <v>1513</v>
      </c>
    </row>
    <row r="43" spans="1:14" x14ac:dyDescent="0.3">
      <c r="A43" s="15" t="s">
        <v>192</v>
      </c>
      <c r="B43" s="15" t="s">
        <v>4</v>
      </c>
      <c r="C43" s="15" t="s">
        <v>193</v>
      </c>
      <c r="D43" s="15" t="s">
        <v>79</v>
      </c>
      <c r="E43" s="15" t="s">
        <v>80</v>
      </c>
      <c r="F43" s="15">
        <v>1543</v>
      </c>
      <c r="G43" s="15">
        <v>820</v>
      </c>
      <c r="H43" s="15">
        <v>333</v>
      </c>
      <c r="I43" s="15">
        <v>12344</v>
      </c>
      <c r="J43" s="15">
        <v>11496</v>
      </c>
      <c r="K43" s="15">
        <v>241</v>
      </c>
      <c r="L43" s="15" t="s">
        <v>118</v>
      </c>
      <c r="M43" s="15" t="s">
        <v>99</v>
      </c>
      <c r="N43" s="15">
        <f t="shared" si="0"/>
        <v>2696</v>
      </c>
    </row>
    <row r="44" spans="1:14" x14ac:dyDescent="0.3">
      <c r="A44" s="15" t="s">
        <v>194</v>
      </c>
      <c r="B44" s="15" t="s">
        <v>2</v>
      </c>
      <c r="C44" s="15" t="s">
        <v>195</v>
      </c>
      <c r="D44" s="15" t="s">
        <v>102</v>
      </c>
      <c r="E44" s="15" t="s">
        <v>103</v>
      </c>
      <c r="F44" s="15">
        <v>2174</v>
      </c>
      <c r="G44" s="15">
        <v>658</v>
      </c>
      <c r="H44" s="15">
        <v>15</v>
      </c>
      <c r="I44" s="15">
        <v>13044</v>
      </c>
      <c r="J44" s="15">
        <v>12206</v>
      </c>
      <c r="K44" s="15">
        <v>137</v>
      </c>
      <c r="L44" s="15" t="s">
        <v>126</v>
      </c>
      <c r="M44" s="15" t="s">
        <v>115</v>
      </c>
      <c r="N44" s="15">
        <f t="shared" si="0"/>
        <v>2847</v>
      </c>
    </row>
    <row r="45" spans="1:14" x14ac:dyDescent="0.3">
      <c r="A45" s="15" t="s">
        <v>196</v>
      </c>
      <c r="B45" s="15" t="s">
        <v>3</v>
      </c>
      <c r="C45" s="15" t="s">
        <v>197</v>
      </c>
      <c r="D45" s="15" t="s">
        <v>109</v>
      </c>
      <c r="E45" s="15" t="s">
        <v>110</v>
      </c>
      <c r="F45" s="15">
        <v>2358</v>
      </c>
      <c r="G45" s="15">
        <v>784</v>
      </c>
      <c r="H45" s="15">
        <v>344</v>
      </c>
      <c r="I45" s="15">
        <v>35370</v>
      </c>
      <c r="J45" s="15">
        <v>34475</v>
      </c>
      <c r="K45" s="15">
        <v>216</v>
      </c>
      <c r="L45" s="15" t="s">
        <v>142</v>
      </c>
      <c r="M45" s="15" t="s">
        <v>82</v>
      </c>
      <c r="N45" s="15">
        <f t="shared" si="0"/>
        <v>3486</v>
      </c>
    </row>
    <row r="46" spans="1:14" x14ac:dyDescent="0.3">
      <c r="A46" s="15" t="s">
        <v>198</v>
      </c>
      <c r="B46" s="15" t="s">
        <v>1</v>
      </c>
      <c r="C46" s="15" t="s">
        <v>199</v>
      </c>
      <c r="D46" s="15" t="s">
        <v>129</v>
      </c>
      <c r="E46" s="15" t="s">
        <v>130</v>
      </c>
      <c r="F46" s="15">
        <v>3371</v>
      </c>
      <c r="G46" s="15">
        <v>106</v>
      </c>
      <c r="H46" s="15">
        <v>327</v>
      </c>
      <c r="I46" s="15">
        <v>50565</v>
      </c>
      <c r="J46" s="15">
        <v>49816</v>
      </c>
      <c r="K46" s="15">
        <v>176</v>
      </c>
      <c r="L46" s="15" t="s">
        <v>137</v>
      </c>
      <c r="M46" s="15" t="s">
        <v>115</v>
      </c>
      <c r="N46" s="15">
        <f t="shared" si="0"/>
        <v>3804</v>
      </c>
    </row>
    <row r="47" spans="1:14" x14ac:dyDescent="0.3">
      <c r="A47" s="15" t="s">
        <v>200</v>
      </c>
      <c r="B47" s="15" t="s">
        <v>3</v>
      </c>
      <c r="C47" s="15" t="s">
        <v>201</v>
      </c>
      <c r="D47" s="15" t="s">
        <v>129</v>
      </c>
      <c r="E47" s="15" t="s">
        <v>130</v>
      </c>
      <c r="F47" s="15">
        <v>1108</v>
      </c>
      <c r="G47" s="15">
        <v>177</v>
      </c>
      <c r="H47" s="15">
        <v>212</v>
      </c>
      <c r="I47" s="15">
        <v>8864</v>
      </c>
      <c r="J47" s="15">
        <v>8710</v>
      </c>
      <c r="K47" s="15">
        <v>97</v>
      </c>
      <c r="L47" s="15" t="s">
        <v>87</v>
      </c>
      <c r="M47" s="15" t="s">
        <v>115</v>
      </c>
      <c r="N47" s="15">
        <f t="shared" si="0"/>
        <v>1497</v>
      </c>
    </row>
    <row r="48" spans="1:14" x14ac:dyDescent="0.3">
      <c r="A48" s="15" t="s">
        <v>202</v>
      </c>
      <c r="B48" s="15" t="s">
        <v>3</v>
      </c>
      <c r="C48" s="15" t="s">
        <v>203</v>
      </c>
      <c r="D48" s="15" t="s">
        <v>102</v>
      </c>
      <c r="E48" s="15" t="s">
        <v>103</v>
      </c>
      <c r="F48" s="15">
        <v>2704</v>
      </c>
      <c r="G48" s="15">
        <v>752</v>
      </c>
      <c r="H48" s="15">
        <v>153</v>
      </c>
      <c r="I48" s="15">
        <v>21632</v>
      </c>
      <c r="J48" s="15">
        <v>20792</v>
      </c>
      <c r="K48" s="15">
        <v>127</v>
      </c>
      <c r="L48" s="15" t="s">
        <v>204</v>
      </c>
      <c r="M48" s="15" t="s">
        <v>82</v>
      </c>
      <c r="N48" s="15">
        <f t="shared" si="0"/>
        <v>3609</v>
      </c>
    </row>
    <row r="49" spans="1:14" x14ac:dyDescent="0.3">
      <c r="A49" s="15" t="s">
        <v>205</v>
      </c>
      <c r="B49" s="15" t="s">
        <v>3</v>
      </c>
      <c r="C49" s="15" t="s">
        <v>114</v>
      </c>
      <c r="D49" s="15" t="s">
        <v>94</v>
      </c>
      <c r="E49" s="15" t="s">
        <v>95</v>
      </c>
      <c r="F49" s="15">
        <v>1950</v>
      </c>
      <c r="G49" s="15">
        <v>295</v>
      </c>
      <c r="H49" s="15">
        <v>478</v>
      </c>
      <c r="I49" s="15">
        <v>37050</v>
      </c>
      <c r="J49" s="15">
        <v>36272</v>
      </c>
      <c r="K49" s="15">
        <v>119</v>
      </c>
      <c r="L49" s="15" t="s">
        <v>206</v>
      </c>
      <c r="M49" s="15" t="s">
        <v>115</v>
      </c>
      <c r="N49" s="15">
        <f t="shared" si="0"/>
        <v>2723</v>
      </c>
    </row>
    <row r="50" spans="1:14" x14ac:dyDescent="0.3">
      <c r="A50" s="15" t="s">
        <v>207</v>
      </c>
      <c r="B50" s="15" t="s">
        <v>3</v>
      </c>
      <c r="C50" s="15" t="s">
        <v>208</v>
      </c>
      <c r="D50" s="15" t="s">
        <v>94</v>
      </c>
      <c r="E50" s="15" t="s">
        <v>95</v>
      </c>
      <c r="F50" s="15">
        <v>2164</v>
      </c>
      <c r="G50" s="15">
        <v>549</v>
      </c>
      <c r="H50" s="15">
        <v>274</v>
      </c>
      <c r="I50" s="15">
        <v>28132</v>
      </c>
      <c r="J50" s="15">
        <v>27361</v>
      </c>
      <c r="K50" s="15">
        <v>177</v>
      </c>
      <c r="L50" s="15" t="s">
        <v>118</v>
      </c>
      <c r="M50" s="15" t="s">
        <v>82</v>
      </c>
      <c r="N50" s="15">
        <f t="shared" si="0"/>
        <v>2987</v>
      </c>
    </row>
    <row r="51" spans="1:14" x14ac:dyDescent="0.3">
      <c r="A51" s="15" t="s">
        <v>209</v>
      </c>
      <c r="B51" s="15" t="s">
        <v>4</v>
      </c>
      <c r="C51" s="15" t="s">
        <v>210</v>
      </c>
      <c r="D51" s="15" t="s">
        <v>94</v>
      </c>
      <c r="E51" s="15" t="s">
        <v>95</v>
      </c>
      <c r="F51" s="15">
        <v>2754</v>
      </c>
      <c r="G51" s="15">
        <v>130</v>
      </c>
      <c r="H51" s="15">
        <v>90</v>
      </c>
      <c r="I51" s="15">
        <v>22032</v>
      </c>
      <c r="J51" s="15">
        <v>21288</v>
      </c>
      <c r="K51" s="15">
        <v>112</v>
      </c>
      <c r="L51" s="15" t="s">
        <v>87</v>
      </c>
      <c r="M51" s="15" t="s">
        <v>82</v>
      </c>
      <c r="N51" s="15">
        <f t="shared" si="0"/>
        <v>2974</v>
      </c>
    </row>
    <row r="52" spans="1:14" x14ac:dyDescent="0.3">
      <c r="A52" s="15" t="s">
        <v>211</v>
      </c>
      <c r="B52" s="15" t="s">
        <v>1</v>
      </c>
      <c r="C52" s="15" t="s">
        <v>212</v>
      </c>
      <c r="D52" s="15" t="s">
        <v>102</v>
      </c>
      <c r="E52" s="15" t="s">
        <v>103</v>
      </c>
      <c r="F52" s="15">
        <v>2200</v>
      </c>
      <c r="G52" s="15">
        <v>504</v>
      </c>
      <c r="H52" s="15">
        <v>239</v>
      </c>
      <c r="I52" s="15">
        <v>37400</v>
      </c>
      <c r="J52" s="15">
        <v>36938</v>
      </c>
      <c r="K52" s="15">
        <v>225</v>
      </c>
      <c r="L52" s="15" t="s">
        <v>81</v>
      </c>
      <c r="M52" s="15" t="s">
        <v>99</v>
      </c>
      <c r="N52" s="15">
        <f t="shared" si="0"/>
        <v>2943</v>
      </c>
    </row>
    <row r="53" spans="1:14" x14ac:dyDescent="0.3">
      <c r="A53" s="15" t="s">
        <v>213</v>
      </c>
      <c r="B53" s="15" t="s">
        <v>1</v>
      </c>
      <c r="C53" s="15" t="s">
        <v>214</v>
      </c>
      <c r="D53" s="15" t="s">
        <v>109</v>
      </c>
      <c r="E53" s="15" t="s">
        <v>110</v>
      </c>
      <c r="F53" s="15">
        <v>947</v>
      </c>
      <c r="G53" s="15">
        <v>338</v>
      </c>
      <c r="H53" s="15">
        <v>350</v>
      </c>
      <c r="I53" s="15">
        <v>10417</v>
      </c>
      <c r="J53" s="15">
        <v>9730</v>
      </c>
      <c r="K53" s="15">
        <v>34</v>
      </c>
      <c r="L53" s="15" t="s">
        <v>91</v>
      </c>
      <c r="M53" s="15" t="s">
        <v>99</v>
      </c>
      <c r="N53" s="15">
        <f t="shared" si="0"/>
        <v>1635</v>
      </c>
    </row>
    <row r="54" spans="1:14" x14ac:dyDescent="0.3">
      <c r="A54" s="15" t="s">
        <v>215</v>
      </c>
      <c r="B54" s="15" t="s">
        <v>4</v>
      </c>
      <c r="C54" s="15" t="s">
        <v>203</v>
      </c>
      <c r="D54" s="15" t="s">
        <v>102</v>
      </c>
      <c r="E54" s="15" t="s">
        <v>103</v>
      </c>
      <c r="F54" s="15">
        <v>804</v>
      </c>
      <c r="G54" s="15">
        <v>639</v>
      </c>
      <c r="H54" s="15">
        <v>43</v>
      </c>
      <c r="I54" s="15">
        <v>4020</v>
      </c>
      <c r="J54" s="15">
        <v>3144</v>
      </c>
      <c r="K54" s="15">
        <v>11</v>
      </c>
      <c r="L54" s="15" t="s">
        <v>147</v>
      </c>
      <c r="M54" s="15" t="s">
        <v>115</v>
      </c>
      <c r="N54" s="15">
        <f t="shared" si="0"/>
        <v>1486</v>
      </c>
    </row>
    <row r="55" spans="1:14" x14ac:dyDescent="0.3">
      <c r="A55" s="15" t="s">
        <v>216</v>
      </c>
      <c r="B55" s="15" t="s">
        <v>4</v>
      </c>
      <c r="C55" s="15" t="s">
        <v>217</v>
      </c>
      <c r="D55" s="15" t="s">
        <v>102</v>
      </c>
      <c r="E55" s="15" t="s">
        <v>103</v>
      </c>
      <c r="F55" s="15">
        <v>1686</v>
      </c>
      <c r="G55" s="15">
        <v>904</v>
      </c>
      <c r="H55" s="15">
        <v>472</v>
      </c>
      <c r="I55" s="15">
        <v>18546</v>
      </c>
      <c r="J55" s="15">
        <v>18171</v>
      </c>
      <c r="K55" s="15">
        <v>52</v>
      </c>
      <c r="L55" s="15" t="s">
        <v>131</v>
      </c>
      <c r="M55" s="15" t="s">
        <v>88</v>
      </c>
      <c r="N55" s="15">
        <f t="shared" si="0"/>
        <v>3062</v>
      </c>
    </row>
    <row r="56" spans="1:14" x14ac:dyDescent="0.3">
      <c r="A56" s="15" t="s">
        <v>218</v>
      </c>
      <c r="B56" s="15" t="s">
        <v>1</v>
      </c>
      <c r="C56" s="15" t="s">
        <v>219</v>
      </c>
      <c r="D56" s="15" t="s">
        <v>109</v>
      </c>
      <c r="E56" s="15" t="s">
        <v>110</v>
      </c>
      <c r="F56" s="15">
        <v>1226</v>
      </c>
      <c r="G56" s="15">
        <v>119</v>
      </c>
      <c r="H56" s="15">
        <v>7</v>
      </c>
      <c r="I56" s="15">
        <v>14712</v>
      </c>
      <c r="J56" s="15">
        <v>14049</v>
      </c>
      <c r="K56" s="15">
        <v>123</v>
      </c>
      <c r="L56" s="15" t="s">
        <v>162</v>
      </c>
      <c r="M56" s="15" t="s">
        <v>115</v>
      </c>
      <c r="N56" s="15">
        <f t="shared" si="0"/>
        <v>1352</v>
      </c>
    </row>
    <row r="57" spans="1:14" x14ac:dyDescent="0.3">
      <c r="A57" s="15" t="s">
        <v>220</v>
      </c>
      <c r="B57" s="15" t="s">
        <v>1</v>
      </c>
      <c r="C57" s="15" t="s">
        <v>221</v>
      </c>
      <c r="D57" s="15" t="s">
        <v>102</v>
      </c>
      <c r="E57" s="15" t="s">
        <v>103</v>
      </c>
      <c r="F57" s="15">
        <v>2946</v>
      </c>
      <c r="G57" s="15">
        <v>498</v>
      </c>
      <c r="H57" s="15">
        <v>367</v>
      </c>
      <c r="I57" s="15">
        <v>29460</v>
      </c>
      <c r="J57" s="15">
        <v>28527</v>
      </c>
      <c r="K57" s="15">
        <v>60</v>
      </c>
      <c r="L57" s="15" t="s">
        <v>222</v>
      </c>
      <c r="M57" s="15" t="s">
        <v>88</v>
      </c>
      <c r="N57" s="15">
        <f t="shared" si="0"/>
        <v>3811</v>
      </c>
    </row>
    <row r="58" spans="1:14" x14ac:dyDescent="0.3">
      <c r="A58" s="15" t="s">
        <v>223</v>
      </c>
      <c r="B58" s="15" t="s">
        <v>3</v>
      </c>
      <c r="C58" s="15" t="s">
        <v>224</v>
      </c>
      <c r="D58" s="15" t="s">
        <v>129</v>
      </c>
      <c r="E58" s="15" t="s">
        <v>130</v>
      </c>
      <c r="F58" s="15">
        <v>2825</v>
      </c>
      <c r="G58" s="15">
        <v>535</v>
      </c>
      <c r="H58" s="15">
        <v>295</v>
      </c>
      <c r="I58" s="15">
        <v>45200</v>
      </c>
      <c r="J58" s="15">
        <v>44739</v>
      </c>
      <c r="K58" s="15">
        <v>169</v>
      </c>
      <c r="L58" s="15" t="s">
        <v>118</v>
      </c>
      <c r="M58" s="15" t="s">
        <v>88</v>
      </c>
      <c r="N58" s="15">
        <f t="shared" si="0"/>
        <v>3655</v>
      </c>
    </row>
    <row r="59" spans="1:14" x14ac:dyDescent="0.3">
      <c r="A59" s="15" t="s">
        <v>225</v>
      </c>
      <c r="B59" s="15" t="s">
        <v>2</v>
      </c>
      <c r="C59" s="15" t="s">
        <v>226</v>
      </c>
      <c r="D59" s="15" t="s">
        <v>79</v>
      </c>
      <c r="E59" s="15" t="s">
        <v>80</v>
      </c>
      <c r="F59" s="15">
        <v>103</v>
      </c>
      <c r="G59" s="15">
        <v>770</v>
      </c>
      <c r="H59" s="15">
        <v>19</v>
      </c>
      <c r="I59" s="15">
        <v>1030</v>
      </c>
      <c r="J59" s="15">
        <v>410</v>
      </c>
      <c r="K59" s="15">
        <v>262</v>
      </c>
      <c r="L59" s="15" t="s">
        <v>81</v>
      </c>
      <c r="M59" s="15" t="s">
        <v>99</v>
      </c>
      <c r="N59" s="15">
        <f t="shared" si="0"/>
        <v>892</v>
      </c>
    </row>
    <row r="60" spans="1:14" x14ac:dyDescent="0.3">
      <c r="A60" s="15" t="s">
        <v>227</v>
      </c>
      <c r="B60" s="15" t="s">
        <v>2</v>
      </c>
      <c r="C60" s="15" t="s">
        <v>228</v>
      </c>
      <c r="D60" s="15" t="s">
        <v>85</v>
      </c>
      <c r="E60" s="15" t="s">
        <v>86</v>
      </c>
      <c r="F60" s="15">
        <v>2180</v>
      </c>
      <c r="G60" s="15">
        <v>263</v>
      </c>
      <c r="H60" s="15">
        <v>387</v>
      </c>
      <c r="I60" s="15">
        <v>30520</v>
      </c>
      <c r="J60" s="15">
        <v>30059</v>
      </c>
      <c r="K60" s="15">
        <v>174</v>
      </c>
      <c r="L60" s="15" t="s">
        <v>137</v>
      </c>
      <c r="M60" s="15" t="s">
        <v>82</v>
      </c>
      <c r="N60" s="15">
        <f t="shared" si="0"/>
        <v>2830</v>
      </c>
    </row>
    <row r="61" spans="1:14" x14ac:dyDescent="0.3">
      <c r="A61" s="15" t="s">
        <v>229</v>
      </c>
      <c r="B61" s="15" t="s">
        <v>2</v>
      </c>
      <c r="C61" s="15" t="s">
        <v>230</v>
      </c>
      <c r="D61" s="15" t="s">
        <v>129</v>
      </c>
      <c r="E61" s="15" t="s">
        <v>130</v>
      </c>
      <c r="F61" s="15">
        <v>904</v>
      </c>
      <c r="G61" s="15">
        <v>973</v>
      </c>
      <c r="H61" s="15">
        <v>63</v>
      </c>
      <c r="I61" s="15">
        <v>11752</v>
      </c>
      <c r="J61" s="15">
        <v>11580</v>
      </c>
      <c r="K61" s="15">
        <v>84</v>
      </c>
      <c r="L61" s="15" t="s">
        <v>118</v>
      </c>
      <c r="M61" s="15" t="s">
        <v>82</v>
      </c>
      <c r="N61" s="15">
        <f t="shared" si="0"/>
        <v>1940</v>
      </c>
    </row>
    <row r="62" spans="1:14" x14ac:dyDescent="0.3">
      <c r="A62" s="15" t="s">
        <v>231</v>
      </c>
      <c r="B62" s="15" t="s">
        <v>3</v>
      </c>
      <c r="C62" s="15" t="s">
        <v>232</v>
      </c>
      <c r="D62" s="15" t="s">
        <v>129</v>
      </c>
      <c r="E62" s="15" t="s">
        <v>130</v>
      </c>
      <c r="F62" s="15">
        <v>4886</v>
      </c>
      <c r="G62" s="15">
        <v>983</v>
      </c>
      <c r="H62" s="15">
        <v>409</v>
      </c>
      <c r="I62" s="15">
        <v>43974</v>
      </c>
      <c r="J62" s="15">
        <v>43239</v>
      </c>
      <c r="K62" s="15">
        <v>65</v>
      </c>
      <c r="L62" s="15" t="s">
        <v>87</v>
      </c>
      <c r="M62" s="15" t="s">
        <v>82</v>
      </c>
      <c r="N62" s="15">
        <f t="shared" si="0"/>
        <v>6278</v>
      </c>
    </row>
    <row r="63" spans="1:14" x14ac:dyDescent="0.3">
      <c r="A63" s="15" t="s">
        <v>233</v>
      </c>
      <c r="B63" s="15" t="s">
        <v>3</v>
      </c>
      <c r="C63" s="15" t="s">
        <v>234</v>
      </c>
      <c r="D63" s="15" t="s">
        <v>102</v>
      </c>
      <c r="E63" s="15" t="s">
        <v>103</v>
      </c>
      <c r="F63" s="15">
        <v>53</v>
      </c>
      <c r="G63" s="15">
        <v>81</v>
      </c>
      <c r="H63" s="15">
        <v>379</v>
      </c>
      <c r="I63" s="15">
        <v>954</v>
      </c>
      <c r="J63" s="15">
        <v>7</v>
      </c>
      <c r="K63" s="15">
        <v>148</v>
      </c>
      <c r="L63" s="15" t="s">
        <v>137</v>
      </c>
      <c r="M63" s="15" t="s">
        <v>99</v>
      </c>
      <c r="N63" s="15">
        <f t="shared" si="0"/>
        <v>513</v>
      </c>
    </row>
    <row r="64" spans="1:14" x14ac:dyDescent="0.3">
      <c r="A64" s="15" t="s">
        <v>235</v>
      </c>
      <c r="B64" s="15" t="s">
        <v>3</v>
      </c>
      <c r="C64" s="15" t="s">
        <v>171</v>
      </c>
      <c r="D64" s="15" t="s">
        <v>102</v>
      </c>
      <c r="E64" s="15" t="s">
        <v>103</v>
      </c>
      <c r="F64" s="15">
        <v>4507</v>
      </c>
      <c r="G64" s="15">
        <v>217</v>
      </c>
      <c r="H64" s="15">
        <v>13</v>
      </c>
      <c r="I64" s="15">
        <v>90140</v>
      </c>
      <c r="J64" s="15">
        <v>89591</v>
      </c>
      <c r="K64" s="15">
        <v>125</v>
      </c>
      <c r="L64" s="15" t="s">
        <v>81</v>
      </c>
      <c r="M64" s="15" t="s">
        <v>82</v>
      </c>
      <c r="N64" s="15">
        <f t="shared" si="0"/>
        <v>4737</v>
      </c>
    </row>
    <row r="65" spans="1:14" x14ac:dyDescent="0.3">
      <c r="A65" s="15" t="s">
        <v>236</v>
      </c>
      <c r="B65" s="15" t="s">
        <v>1</v>
      </c>
      <c r="C65" s="15" t="s">
        <v>237</v>
      </c>
      <c r="D65" s="15" t="s">
        <v>109</v>
      </c>
      <c r="E65" s="15" t="s">
        <v>110</v>
      </c>
      <c r="F65" s="15">
        <v>2878</v>
      </c>
      <c r="G65" s="15">
        <v>248</v>
      </c>
      <c r="H65" s="15">
        <v>416</v>
      </c>
      <c r="I65" s="15">
        <v>43170</v>
      </c>
      <c r="J65" s="15">
        <v>42667</v>
      </c>
      <c r="K65" s="15">
        <v>75</v>
      </c>
      <c r="L65" s="15" t="s">
        <v>238</v>
      </c>
      <c r="M65" s="15" t="s">
        <v>88</v>
      </c>
      <c r="N65" s="15">
        <f t="shared" si="0"/>
        <v>3542</v>
      </c>
    </row>
    <row r="66" spans="1:14" x14ac:dyDescent="0.3">
      <c r="A66" s="15" t="s">
        <v>239</v>
      </c>
      <c r="B66" s="15" t="s">
        <v>2</v>
      </c>
      <c r="C66" s="15" t="s">
        <v>240</v>
      </c>
      <c r="D66" s="15" t="s">
        <v>94</v>
      </c>
      <c r="E66" s="15" t="s">
        <v>95</v>
      </c>
      <c r="F66" s="15">
        <v>1881</v>
      </c>
      <c r="G66" s="15">
        <v>501</v>
      </c>
      <c r="H66" s="15">
        <v>99</v>
      </c>
      <c r="I66" s="15">
        <v>20691</v>
      </c>
      <c r="J66" s="15">
        <v>19987</v>
      </c>
      <c r="K66" s="15">
        <v>289</v>
      </c>
      <c r="L66" s="15" t="s">
        <v>137</v>
      </c>
      <c r="M66" s="15" t="s">
        <v>88</v>
      </c>
      <c r="N66" s="15">
        <f t="shared" si="0"/>
        <v>2481</v>
      </c>
    </row>
    <row r="67" spans="1:14" x14ac:dyDescent="0.3">
      <c r="A67" s="15" t="s">
        <v>241</v>
      </c>
      <c r="B67" s="15" t="s">
        <v>3</v>
      </c>
      <c r="C67" s="15" t="s">
        <v>242</v>
      </c>
      <c r="D67" s="15" t="s">
        <v>102</v>
      </c>
      <c r="E67" s="15" t="s">
        <v>103</v>
      </c>
      <c r="F67" s="15">
        <v>432</v>
      </c>
      <c r="G67" s="15">
        <v>171</v>
      </c>
      <c r="H67" s="15">
        <v>280</v>
      </c>
      <c r="I67" s="15">
        <v>3024</v>
      </c>
      <c r="J67" s="15">
        <v>2285</v>
      </c>
      <c r="K67" s="15">
        <v>184</v>
      </c>
      <c r="L67" s="15" t="s">
        <v>87</v>
      </c>
      <c r="M67" s="15" t="s">
        <v>99</v>
      </c>
      <c r="N67" s="15">
        <f t="shared" ref="N67:N130" si="1">SUM(F67,G67,H67)</f>
        <v>883</v>
      </c>
    </row>
    <row r="68" spans="1:14" x14ac:dyDescent="0.3">
      <c r="A68" s="15" t="s">
        <v>243</v>
      </c>
      <c r="B68" s="15" t="s">
        <v>1</v>
      </c>
      <c r="C68" s="15" t="s">
        <v>244</v>
      </c>
      <c r="D68" s="15" t="s">
        <v>102</v>
      </c>
      <c r="E68" s="15" t="s">
        <v>103</v>
      </c>
      <c r="F68" s="15">
        <v>4712</v>
      </c>
      <c r="G68" s="15">
        <v>568</v>
      </c>
      <c r="H68" s="15">
        <v>127</v>
      </c>
      <c r="I68" s="15">
        <v>84816</v>
      </c>
      <c r="J68" s="15">
        <v>84691</v>
      </c>
      <c r="K68" s="15">
        <v>100</v>
      </c>
      <c r="L68" s="15" t="s">
        <v>137</v>
      </c>
      <c r="M68" s="15" t="s">
        <v>82</v>
      </c>
      <c r="N68" s="15">
        <f t="shared" si="1"/>
        <v>5407</v>
      </c>
    </row>
    <row r="69" spans="1:14" x14ac:dyDescent="0.3">
      <c r="A69" s="15" t="s">
        <v>245</v>
      </c>
      <c r="B69" s="15" t="s">
        <v>2</v>
      </c>
      <c r="C69" s="15" t="s">
        <v>246</v>
      </c>
      <c r="D69" s="15" t="s">
        <v>94</v>
      </c>
      <c r="E69" s="15" t="s">
        <v>95</v>
      </c>
      <c r="F69" s="15">
        <v>2610</v>
      </c>
      <c r="G69" s="15">
        <v>126</v>
      </c>
      <c r="H69" s="15">
        <v>288</v>
      </c>
      <c r="I69" s="15">
        <v>15660</v>
      </c>
      <c r="J69" s="15">
        <v>15145</v>
      </c>
      <c r="K69" s="15">
        <v>73</v>
      </c>
      <c r="L69" s="15" t="s">
        <v>87</v>
      </c>
      <c r="M69" s="15" t="s">
        <v>82</v>
      </c>
      <c r="N69" s="15">
        <f t="shared" si="1"/>
        <v>3024</v>
      </c>
    </row>
    <row r="70" spans="1:14" x14ac:dyDescent="0.3">
      <c r="A70" s="15" t="s">
        <v>247</v>
      </c>
      <c r="B70" s="15" t="s">
        <v>3</v>
      </c>
      <c r="C70" s="15" t="s">
        <v>191</v>
      </c>
      <c r="D70" s="15" t="s">
        <v>85</v>
      </c>
      <c r="E70" s="15" t="s">
        <v>86</v>
      </c>
      <c r="F70" s="15">
        <v>1292</v>
      </c>
      <c r="G70" s="15">
        <v>626</v>
      </c>
      <c r="H70" s="15">
        <v>496</v>
      </c>
      <c r="I70" s="15">
        <v>25840</v>
      </c>
      <c r="J70" s="15">
        <v>24916</v>
      </c>
      <c r="K70" s="15">
        <v>149</v>
      </c>
      <c r="L70" s="15" t="s">
        <v>147</v>
      </c>
      <c r="M70" s="15" t="s">
        <v>115</v>
      </c>
      <c r="N70" s="15">
        <f t="shared" si="1"/>
        <v>2414</v>
      </c>
    </row>
    <row r="71" spans="1:14" x14ac:dyDescent="0.3">
      <c r="A71" s="15" t="s">
        <v>248</v>
      </c>
      <c r="B71" s="15" t="s">
        <v>1</v>
      </c>
      <c r="C71" s="15" t="s">
        <v>249</v>
      </c>
      <c r="D71" s="15" t="s">
        <v>129</v>
      </c>
      <c r="E71" s="15" t="s">
        <v>130</v>
      </c>
      <c r="F71" s="15">
        <v>199</v>
      </c>
      <c r="G71" s="15">
        <v>772</v>
      </c>
      <c r="H71" s="15">
        <v>400</v>
      </c>
      <c r="I71" s="15">
        <v>3582</v>
      </c>
      <c r="J71" s="15">
        <v>2988</v>
      </c>
      <c r="K71" s="15">
        <v>43</v>
      </c>
      <c r="L71" s="15" t="s">
        <v>104</v>
      </c>
      <c r="M71" s="15" t="s">
        <v>82</v>
      </c>
      <c r="N71" s="15">
        <f t="shared" si="1"/>
        <v>1371</v>
      </c>
    </row>
    <row r="72" spans="1:14" x14ac:dyDescent="0.3">
      <c r="A72" s="15" t="s">
        <v>250</v>
      </c>
      <c r="B72" s="15" t="s">
        <v>4</v>
      </c>
      <c r="C72" s="15" t="s">
        <v>251</v>
      </c>
      <c r="D72" s="15" t="s">
        <v>102</v>
      </c>
      <c r="E72" s="15" t="s">
        <v>103</v>
      </c>
      <c r="F72" s="15">
        <v>2551</v>
      </c>
      <c r="G72" s="15">
        <v>915</v>
      </c>
      <c r="H72" s="15">
        <v>205</v>
      </c>
      <c r="I72" s="15">
        <v>30612</v>
      </c>
      <c r="J72" s="15">
        <v>30360</v>
      </c>
      <c r="K72" s="15">
        <v>227</v>
      </c>
      <c r="L72" s="15" t="s">
        <v>134</v>
      </c>
      <c r="M72" s="15" t="s">
        <v>88</v>
      </c>
      <c r="N72" s="15">
        <f t="shared" si="1"/>
        <v>3671</v>
      </c>
    </row>
    <row r="73" spans="1:14" x14ac:dyDescent="0.3">
      <c r="A73" s="15" t="s">
        <v>252</v>
      </c>
      <c r="B73" s="15" t="s">
        <v>4</v>
      </c>
      <c r="C73" s="15" t="s">
        <v>253</v>
      </c>
      <c r="D73" s="15" t="s">
        <v>79</v>
      </c>
      <c r="E73" s="15" t="s">
        <v>80</v>
      </c>
      <c r="F73" s="15">
        <v>296</v>
      </c>
      <c r="G73" s="15">
        <v>60</v>
      </c>
      <c r="H73" s="15">
        <v>141</v>
      </c>
      <c r="I73" s="15">
        <v>5624</v>
      </c>
      <c r="J73" s="15">
        <v>5239</v>
      </c>
      <c r="K73" s="15">
        <v>88</v>
      </c>
      <c r="L73" s="15" t="s">
        <v>104</v>
      </c>
      <c r="M73" s="15" t="s">
        <v>115</v>
      </c>
      <c r="N73" s="15">
        <f t="shared" si="1"/>
        <v>497</v>
      </c>
    </row>
    <row r="74" spans="1:14" x14ac:dyDescent="0.3">
      <c r="A74" s="15" t="s">
        <v>254</v>
      </c>
      <c r="B74" s="15" t="s">
        <v>1</v>
      </c>
      <c r="C74" s="15" t="s">
        <v>255</v>
      </c>
      <c r="D74" s="15" t="s">
        <v>94</v>
      </c>
      <c r="E74" s="15" t="s">
        <v>95</v>
      </c>
      <c r="F74" s="15">
        <v>4126</v>
      </c>
      <c r="G74" s="15">
        <v>426</v>
      </c>
      <c r="H74" s="15">
        <v>486</v>
      </c>
      <c r="I74" s="15">
        <v>78394</v>
      </c>
      <c r="J74" s="15">
        <v>77798</v>
      </c>
      <c r="K74" s="15">
        <v>88</v>
      </c>
      <c r="L74" s="15" t="s">
        <v>87</v>
      </c>
      <c r="M74" s="15" t="s">
        <v>82</v>
      </c>
      <c r="N74" s="15">
        <f t="shared" si="1"/>
        <v>5038</v>
      </c>
    </row>
    <row r="75" spans="1:14" x14ac:dyDescent="0.3">
      <c r="A75" s="15" t="s">
        <v>256</v>
      </c>
      <c r="B75" s="15" t="s">
        <v>4</v>
      </c>
      <c r="C75" s="15" t="s">
        <v>257</v>
      </c>
      <c r="D75" s="15" t="s">
        <v>79</v>
      </c>
      <c r="E75" s="15" t="s">
        <v>80</v>
      </c>
      <c r="F75" s="15">
        <v>1855</v>
      </c>
      <c r="G75" s="15">
        <v>200</v>
      </c>
      <c r="H75" s="15">
        <v>174</v>
      </c>
      <c r="I75" s="15">
        <v>16695</v>
      </c>
      <c r="J75" s="15">
        <v>16330</v>
      </c>
      <c r="K75" s="15">
        <v>123</v>
      </c>
      <c r="L75" s="15" t="s">
        <v>87</v>
      </c>
      <c r="M75" s="15" t="s">
        <v>99</v>
      </c>
      <c r="N75" s="15">
        <f t="shared" si="1"/>
        <v>2229</v>
      </c>
    </row>
    <row r="76" spans="1:14" x14ac:dyDescent="0.3">
      <c r="A76" s="15" t="s">
        <v>258</v>
      </c>
      <c r="B76" s="15" t="s">
        <v>2</v>
      </c>
      <c r="C76" s="15" t="s">
        <v>259</v>
      </c>
      <c r="D76" s="15" t="s">
        <v>79</v>
      </c>
      <c r="E76" s="15" t="s">
        <v>80</v>
      </c>
      <c r="F76" s="15">
        <v>1674</v>
      </c>
      <c r="G76" s="15">
        <v>929</v>
      </c>
      <c r="H76" s="15">
        <v>37</v>
      </c>
      <c r="I76" s="15">
        <v>21762</v>
      </c>
      <c r="J76" s="15">
        <v>20998</v>
      </c>
      <c r="K76" s="15">
        <v>255</v>
      </c>
      <c r="L76" s="15" t="s">
        <v>222</v>
      </c>
      <c r="M76" s="15" t="s">
        <v>99</v>
      </c>
      <c r="N76" s="15">
        <f t="shared" si="1"/>
        <v>2640</v>
      </c>
    </row>
    <row r="77" spans="1:14" x14ac:dyDescent="0.3">
      <c r="A77" s="15" t="s">
        <v>260</v>
      </c>
      <c r="B77" s="15" t="s">
        <v>3</v>
      </c>
      <c r="C77" s="15" t="s">
        <v>261</v>
      </c>
      <c r="D77" s="15" t="s">
        <v>94</v>
      </c>
      <c r="E77" s="15" t="s">
        <v>95</v>
      </c>
      <c r="F77" s="15">
        <v>1121</v>
      </c>
      <c r="G77" s="15">
        <v>135</v>
      </c>
      <c r="H77" s="15">
        <v>18</v>
      </c>
      <c r="I77" s="15">
        <v>15694</v>
      </c>
      <c r="J77" s="15">
        <v>14957</v>
      </c>
      <c r="K77" s="15">
        <v>99</v>
      </c>
      <c r="L77" s="15" t="s">
        <v>126</v>
      </c>
      <c r="M77" s="15" t="s">
        <v>115</v>
      </c>
      <c r="N77" s="15">
        <f t="shared" si="1"/>
        <v>1274</v>
      </c>
    </row>
    <row r="78" spans="1:14" x14ac:dyDescent="0.3">
      <c r="A78" s="15" t="s">
        <v>262</v>
      </c>
      <c r="B78" s="15" t="s">
        <v>1</v>
      </c>
      <c r="C78" s="15" t="s">
        <v>161</v>
      </c>
      <c r="D78" s="15" t="s">
        <v>94</v>
      </c>
      <c r="E78" s="15" t="s">
        <v>95</v>
      </c>
      <c r="F78" s="15">
        <v>1249</v>
      </c>
      <c r="G78" s="15">
        <v>116</v>
      </c>
      <c r="H78" s="15">
        <v>420</v>
      </c>
      <c r="I78" s="15">
        <v>8743</v>
      </c>
      <c r="J78" s="15">
        <v>8538</v>
      </c>
      <c r="K78" s="15">
        <v>63</v>
      </c>
      <c r="L78" s="15" t="s">
        <v>131</v>
      </c>
      <c r="M78" s="15" t="s">
        <v>99</v>
      </c>
      <c r="N78" s="15">
        <f t="shared" si="1"/>
        <v>1785</v>
      </c>
    </row>
    <row r="79" spans="1:14" x14ac:dyDescent="0.3">
      <c r="A79" s="15" t="s">
        <v>263</v>
      </c>
      <c r="B79" s="15" t="s">
        <v>3</v>
      </c>
      <c r="C79" s="15" t="s">
        <v>219</v>
      </c>
      <c r="D79" s="15" t="s">
        <v>109</v>
      </c>
      <c r="E79" s="15" t="s">
        <v>110</v>
      </c>
      <c r="F79" s="15">
        <v>954</v>
      </c>
      <c r="G79" s="15">
        <v>324</v>
      </c>
      <c r="H79" s="15">
        <v>288</v>
      </c>
      <c r="I79" s="15">
        <v>19080</v>
      </c>
      <c r="J79" s="15">
        <v>18859</v>
      </c>
      <c r="K79" s="15">
        <v>21</v>
      </c>
      <c r="L79" s="15" t="s">
        <v>104</v>
      </c>
      <c r="M79" s="15" t="s">
        <v>99</v>
      </c>
      <c r="N79" s="15">
        <f t="shared" si="1"/>
        <v>1566</v>
      </c>
    </row>
    <row r="80" spans="1:14" x14ac:dyDescent="0.3">
      <c r="A80" s="15" t="s">
        <v>264</v>
      </c>
      <c r="B80" s="15" t="s">
        <v>2</v>
      </c>
      <c r="C80" s="15" t="s">
        <v>265</v>
      </c>
      <c r="D80" s="15" t="s">
        <v>102</v>
      </c>
      <c r="E80" s="15" t="s">
        <v>103</v>
      </c>
      <c r="F80" s="15">
        <v>3068</v>
      </c>
      <c r="G80" s="15">
        <v>137</v>
      </c>
      <c r="H80" s="15">
        <v>329</v>
      </c>
      <c r="I80" s="15">
        <v>39884</v>
      </c>
      <c r="J80" s="15">
        <v>39404</v>
      </c>
      <c r="K80" s="15">
        <v>266</v>
      </c>
      <c r="L80" s="15" t="s">
        <v>162</v>
      </c>
      <c r="M80" s="15" t="s">
        <v>99</v>
      </c>
      <c r="N80" s="15">
        <f t="shared" si="1"/>
        <v>3534</v>
      </c>
    </row>
    <row r="81" spans="1:14" x14ac:dyDescent="0.3">
      <c r="A81" s="15" t="s">
        <v>266</v>
      </c>
      <c r="B81" s="15" t="s">
        <v>2</v>
      </c>
      <c r="C81" s="15" t="s">
        <v>212</v>
      </c>
      <c r="D81" s="15" t="s">
        <v>94</v>
      </c>
      <c r="E81" s="15" t="s">
        <v>95</v>
      </c>
      <c r="F81" s="15">
        <v>2103</v>
      </c>
      <c r="G81" s="15">
        <v>892</v>
      </c>
      <c r="H81" s="15">
        <v>103</v>
      </c>
      <c r="I81" s="15">
        <v>39957</v>
      </c>
      <c r="J81" s="15">
        <v>39466</v>
      </c>
      <c r="K81" s="15">
        <v>28</v>
      </c>
      <c r="L81" s="15" t="s">
        <v>204</v>
      </c>
      <c r="M81" s="15" t="s">
        <v>88</v>
      </c>
      <c r="N81" s="15">
        <f t="shared" si="1"/>
        <v>3098</v>
      </c>
    </row>
    <row r="82" spans="1:14" x14ac:dyDescent="0.3">
      <c r="A82" s="15" t="s">
        <v>267</v>
      </c>
      <c r="B82" s="15" t="s">
        <v>2</v>
      </c>
      <c r="C82" s="15" t="s">
        <v>268</v>
      </c>
      <c r="D82" s="15" t="s">
        <v>94</v>
      </c>
      <c r="E82" s="15" t="s">
        <v>95</v>
      </c>
      <c r="F82" s="15">
        <v>1816</v>
      </c>
      <c r="G82" s="15">
        <v>29</v>
      </c>
      <c r="H82" s="15">
        <v>41</v>
      </c>
      <c r="I82" s="15">
        <v>19976</v>
      </c>
      <c r="J82" s="15">
        <v>19262</v>
      </c>
      <c r="K82" s="15">
        <v>283</v>
      </c>
      <c r="L82" s="15" t="s">
        <v>269</v>
      </c>
      <c r="M82" s="15" t="s">
        <v>99</v>
      </c>
      <c r="N82" s="15">
        <f t="shared" si="1"/>
        <v>1886</v>
      </c>
    </row>
    <row r="83" spans="1:14" x14ac:dyDescent="0.3">
      <c r="A83" s="15" t="s">
        <v>270</v>
      </c>
      <c r="B83" s="15" t="s">
        <v>2</v>
      </c>
      <c r="C83" s="15" t="s">
        <v>271</v>
      </c>
      <c r="D83" s="15" t="s">
        <v>109</v>
      </c>
      <c r="E83" s="15" t="s">
        <v>110</v>
      </c>
      <c r="F83" s="15">
        <v>725</v>
      </c>
      <c r="G83" s="15">
        <v>88</v>
      </c>
      <c r="H83" s="15">
        <v>428</v>
      </c>
      <c r="I83" s="15">
        <v>14500</v>
      </c>
      <c r="J83" s="15">
        <v>13637</v>
      </c>
      <c r="K83" s="15">
        <v>200</v>
      </c>
      <c r="L83" s="15" t="s">
        <v>104</v>
      </c>
      <c r="M83" s="15" t="s">
        <v>99</v>
      </c>
      <c r="N83" s="15">
        <f t="shared" si="1"/>
        <v>1241</v>
      </c>
    </row>
    <row r="84" spans="1:14" x14ac:dyDescent="0.3">
      <c r="A84" s="15" t="s">
        <v>272</v>
      </c>
      <c r="B84" s="15" t="s">
        <v>4</v>
      </c>
      <c r="C84" s="15" t="s">
        <v>273</v>
      </c>
      <c r="D84" s="15" t="s">
        <v>129</v>
      </c>
      <c r="E84" s="15" t="s">
        <v>130</v>
      </c>
      <c r="F84" s="15">
        <v>1094</v>
      </c>
      <c r="G84" s="15">
        <v>472</v>
      </c>
      <c r="H84" s="15">
        <v>21</v>
      </c>
      <c r="I84" s="15">
        <v>9846</v>
      </c>
      <c r="J84" s="15">
        <v>9609</v>
      </c>
      <c r="K84" s="15">
        <v>112</v>
      </c>
      <c r="L84" s="15" t="s">
        <v>274</v>
      </c>
      <c r="M84" s="15" t="s">
        <v>99</v>
      </c>
      <c r="N84" s="15">
        <f t="shared" si="1"/>
        <v>1587</v>
      </c>
    </row>
    <row r="85" spans="1:14" x14ac:dyDescent="0.3">
      <c r="A85" s="15" t="s">
        <v>275</v>
      </c>
      <c r="B85" s="15" t="s">
        <v>1</v>
      </c>
      <c r="C85" s="15" t="s">
        <v>276</v>
      </c>
      <c r="D85" s="15" t="s">
        <v>109</v>
      </c>
      <c r="E85" s="15" t="s">
        <v>110</v>
      </c>
      <c r="F85" s="15">
        <v>1841</v>
      </c>
      <c r="G85" s="15">
        <v>851</v>
      </c>
      <c r="H85" s="15">
        <v>342</v>
      </c>
      <c r="I85" s="15">
        <v>34979</v>
      </c>
      <c r="J85" s="15">
        <v>34154</v>
      </c>
      <c r="K85" s="15">
        <v>255</v>
      </c>
      <c r="L85" s="15" t="s">
        <v>131</v>
      </c>
      <c r="M85" s="15" t="s">
        <v>82</v>
      </c>
      <c r="N85" s="15">
        <f t="shared" si="1"/>
        <v>3034</v>
      </c>
    </row>
    <row r="86" spans="1:14" x14ac:dyDescent="0.3">
      <c r="A86" s="15" t="s">
        <v>277</v>
      </c>
      <c r="B86" s="15" t="s">
        <v>2</v>
      </c>
      <c r="C86" s="15" t="s">
        <v>180</v>
      </c>
      <c r="D86" s="15" t="s">
        <v>109</v>
      </c>
      <c r="E86" s="15" t="s">
        <v>110</v>
      </c>
      <c r="F86" s="15">
        <v>4177</v>
      </c>
      <c r="G86" s="15">
        <v>569</v>
      </c>
      <c r="H86" s="15">
        <v>55</v>
      </c>
      <c r="I86" s="15">
        <v>25062</v>
      </c>
      <c r="J86" s="15">
        <v>24847</v>
      </c>
      <c r="K86" s="15">
        <v>230</v>
      </c>
      <c r="L86" s="15" t="s">
        <v>87</v>
      </c>
      <c r="M86" s="15" t="s">
        <v>82</v>
      </c>
      <c r="N86" s="15">
        <f t="shared" si="1"/>
        <v>4801</v>
      </c>
    </row>
    <row r="87" spans="1:14" x14ac:dyDescent="0.3">
      <c r="A87" s="15" t="s">
        <v>278</v>
      </c>
      <c r="B87" s="15" t="s">
        <v>4</v>
      </c>
      <c r="C87" s="15" t="s">
        <v>279</v>
      </c>
      <c r="D87" s="15" t="s">
        <v>85</v>
      </c>
      <c r="E87" s="15" t="s">
        <v>86</v>
      </c>
      <c r="F87" s="15">
        <v>3428</v>
      </c>
      <c r="G87" s="15">
        <v>305</v>
      </c>
      <c r="H87" s="15">
        <v>85</v>
      </c>
      <c r="I87" s="15">
        <v>58276</v>
      </c>
      <c r="J87" s="15">
        <v>58052</v>
      </c>
      <c r="K87" s="15">
        <v>242</v>
      </c>
      <c r="L87" s="15" t="s">
        <v>274</v>
      </c>
      <c r="M87" s="15" t="s">
        <v>99</v>
      </c>
      <c r="N87" s="15">
        <f t="shared" si="1"/>
        <v>3818</v>
      </c>
    </row>
    <row r="88" spans="1:14" x14ac:dyDescent="0.3">
      <c r="A88" s="15" t="s">
        <v>280</v>
      </c>
      <c r="B88" s="15" t="s">
        <v>3</v>
      </c>
      <c r="C88" s="15" t="s">
        <v>281</v>
      </c>
      <c r="D88" s="15" t="s">
        <v>129</v>
      </c>
      <c r="E88" s="15" t="s">
        <v>130</v>
      </c>
      <c r="F88" s="15">
        <v>1436</v>
      </c>
      <c r="G88" s="15">
        <v>765</v>
      </c>
      <c r="H88" s="15">
        <v>496</v>
      </c>
      <c r="I88" s="15">
        <v>12924</v>
      </c>
      <c r="J88" s="15">
        <v>12701</v>
      </c>
      <c r="K88" s="15">
        <v>197</v>
      </c>
      <c r="L88" s="15" t="s">
        <v>269</v>
      </c>
      <c r="M88" s="15" t="s">
        <v>88</v>
      </c>
      <c r="N88" s="15">
        <f t="shared" si="1"/>
        <v>2697</v>
      </c>
    </row>
    <row r="89" spans="1:14" x14ac:dyDescent="0.3">
      <c r="A89" s="15" t="s">
        <v>282</v>
      </c>
      <c r="B89" s="15" t="s">
        <v>1</v>
      </c>
      <c r="C89" s="15" t="s">
        <v>283</v>
      </c>
      <c r="D89" s="15" t="s">
        <v>94</v>
      </c>
      <c r="E89" s="15" t="s">
        <v>95</v>
      </c>
      <c r="F89" s="15">
        <v>302</v>
      </c>
      <c r="G89" s="15">
        <v>47</v>
      </c>
      <c r="H89" s="15">
        <v>430</v>
      </c>
      <c r="I89" s="15">
        <v>5738</v>
      </c>
      <c r="J89" s="15">
        <v>4890</v>
      </c>
      <c r="K89" s="15">
        <v>25</v>
      </c>
      <c r="L89" s="15" t="s">
        <v>91</v>
      </c>
      <c r="M89" s="15" t="s">
        <v>88</v>
      </c>
      <c r="N89" s="15">
        <f t="shared" si="1"/>
        <v>779</v>
      </c>
    </row>
    <row r="90" spans="1:14" x14ac:dyDescent="0.3">
      <c r="A90" s="15" t="s">
        <v>284</v>
      </c>
      <c r="B90" s="15" t="s">
        <v>3</v>
      </c>
      <c r="C90" s="15" t="s">
        <v>285</v>
      </c>
      <c r="D90" s="15" t="s">
        <v>109</v>
      </c>
      <c r="E90" s="15" t="s">
        <v>110</v>
      </c>
      <c r="F90" s="15">
        <v>2214</v>
      </c>
      <c r="G90" s="15">
        <v>249</v>
      </c>
      <c r="H90" s="15">
        <v>152</v>
      </c>
      <c r="I90" s="15">
        <v>15498</v>
      </c>
      <c r="J90" s="15">
        <v>14800</v>
      </c>
      <c r="K90" s="15">
        <v>180</v>
      </c>
      <c r="L90" s="15" t="s">
        <v>81</v>
      </c>
      <c r="M90" s="15" t="s">
        <v>88</v>
      </c>
      <c r="N90" s="15">
        <f t="shared" si="1"/>
        <v>2615</v>
      </c>
    </row>
    <row r="91" spans="1:14" x14ac:dyDescent="0.3">
      <c r="A91" s="15" t="s">
        <v>286</v>
      </c>
      <c r="B91" s="15" t="s">
        <v>2</v>
      </c>
      <c r="C91" s="15" t="s">
        <v>287</v>
      </c>
      <c r="D91" s="15" t="s">
        <v>109</v>
      </c>
      <c r="E91" s="15" t="s">
        <v>110</v>
      </c>
      <c r="F91" s="15">
        <v>3861</v>
      </c>
      <c r="G91" s="15">
        <v>960</v>
      </c>
      <c r="H91" s="15">
        <v>101</v>
      </c>
      <c r="I91" s="15">
        <v>69498</v>
      </c>
      <c r="J91" s="15">
        <v>68817</v>
      </c>
      <c r="K91" s="15">
        <v>297</v>
      </c>
      <c r="L91" s="15" t="s">
        <v>87</v>
      </c>
      <c r="M91" s="15" t="s">
        <v>88</v>
      </c>
      <c r="N91" s="15">
        <f t="shared" si="1"/>
        <v>4922</v>
      </c>
    </row>
    <row r="92" spans="1:14" x14ac:dyDescent="0.3">
      <c r="A92" s="15" t="s">
        <v>288</v>
      </c>
      <c r="B92" s="15" t="s">
        <v>1</v>
      </c>
      <c r="C92" s="15" t="s">
        <v>289</v>
      </c>
      <c r="D92" s="15" t="s">
        <v>109</v>
      </c>
      <c r="E92" s="15" t="s">
        <v>110</v>
      </c>
      <c r="F92" s="15">
        <v>1263</v>
      </c>
      <c r="G92" s="15">
        <v>397</v>
      </c>
      <c r="H92" s="15">
        <v>357</v>
      </c>
      <c r="I92" s="15">
        <v>25260</v>
      </c>
      <c r="J92" s="15">
        <v>24615</v>
      </c>
      <c r="K92" s="15">
        <v>137</v>
      </c>
      <c r="L92" s="15" t="s">
        <v>81</v>
      </c>
      <c r="M92" s="15" t="s">
        <v>88</v>
      </c>
      <c r="N92" s="15">
        <f t="shared" si="1"/>
        <v>2017</v>
      </c>
    </row>
    <row r="93" spans="1:14" x14ac:dyDescent="0.3">
      <c r="A93" s="15" t="s">
        <v>290</v>
      </c>
      <c r="B93" s="15" t="s">
        <v>3</v>
      </c>
      <c r="C93" s="15" t="s">
        <v>224</v>
      </c>
      <c r="D93" s="15" t="s">
        <v>94</v>
      </c>
      <c r="E93" s="15" t="s">
        <v>95</v>
      </c>
      <c r="F93" s="15">
        <v>3801</v>
      </c>
      <c r="G93" s="15">
        <v>967</v>
      </c>
      <c r="H93" s="15">
        <v>401</v>
      </c>
      <c r="I93" s="15">
        <v>38010</v>
      </c>
      <c r="J93" s="15">
        <v>37625</v>
      </c>
      <c r="K93" s="15">
        <v>236</v>
      </c>
      <c r="L93" s="15" t="s">
        <v>118</v>
      </c>
      <c r="M93" s="15" t="s">
        <v>115</v>
      </c>
      <c r="N93" s="15">
        <f t="shared" si="1"/>
        <v>5169</v>
      </c>
    </row>
    <row r="94" spans="1:14" x14ac:dyDescent="0.3">
      <c r="A94" s="15" t="s">
        <v>291</v>
      </c>
      <c r="B94" s="15" t="s">
        <v>2</v>
      </c>
      <c r="C94" s="15" t="s">
        <v>292</v>
      </c>
      <c r="D94" s="15" t="s">
        <v>129</v>
      </c>
      <c r="E94" s="15" t="s">
        <v>130</v>
      </c>
      <c r="F94" s="15">
        <v>1431</v>
      </c>
      <c r="G94" s="15">
        <v>951</v>
      </c>
      <c r="H94" s="15">
        <v>26</v>
      </c>
      <c r="I94" s="15">
        <v>8586</v>
      </c>
      <c r="J94" s="15">
        <v>8396</v>
      </c>
      <c r="K94" s="15">
        <v>150</v>
      </c>
      <c r="L94" s="15" t="s">
        <v>176</v>
      </c>
      <c r="M94" s="15" t="s">
        <v>82</v>
      </c>
      <c r="N94" s="15">
        <f t="shared" si="1"/>
        <v>2408</v>
      </c>
    </row>
    <row r="95" spans="1:14" x14ac:dyDescent="0.3">
      <c r="A95" s="15" t="s">
        <v>293</v>
      </c>
      <c r="B95" s="15" t="s">
        <v>2</v>
      </c>
      <c r="C95" s="15" t="s">
        <v>261</v>
      </c>
      <c r="D95" s="15" t="s">
        <v>109</v>
      </c>
      <c r="E95" s="15" t="s">
        <v>110</v>
      </c>
      <c r="F95" s="15">
        <v>2647</v>
      </c>
      <c r="G95" s="15">
        <v>304</v>
      </c>
      <c r="H95" s="15">
        <v>170</v>
      </c>
      <c r="I95" s="15">
        <v>18529</v>
      </c>
      <c r="J95" s="15">
        <v>17841</v>
      </c>
      <c r="K95" s="15">
        <v>46</v>
      </c>
      <c r="L95" s="15" t="s">
        <v>118</v>
      </c>
      <c r="M95" s="15" t="s">
        <v>88</v>
      </c>
      <c r="N95" s="15">
        <f t="shared" si="1"/>
        <v>3121</v>
      </c>
    </row>
    <row r="96" spans="1:14" x14ac:dyDescent="0.3">
      <c r="A96" s="15" t="s">
        <v>294</v>
      </c>
      <c r="B96" s="15" t="s">
        <v>2</v>
      </c>
      <c r="C96" s="15" t="s">
        <v>295</v>
      </c>
      <c r="D96" s="15" t="s">
        <v>85</v>
      </c>
      <c r="E96" s="15" t="s">
        <v>86</v>
      </c>
      <c r="F96" s="15">
        <v>3182</v>
      </c>
      <c r="G96" s="15">
        <v>559</v>
      </c>
      <c r="H96" s="15">
        <v>160</v>
      </c>
      <c r="I96" s="15">
        <v>57276</v>
      </c>
      <c r="J96" s="15">
        <v>56890</v>
      </c>
      <c r="K96" s="15">
        <v>163</v>
      </c>
      <c r="L96" s="15" t="s">
        <v>147</v>
      </c>
      <c r="M96" s="15" t="s">
        <v>88</v>
      </c>
      <c r="N96" s="15">
        <f t="shared" si="1"/>
        <v>3901</v>
      </c>
    </row>
    <row r="97" spans="1:14" x14ac:dyDescent="0.3">
      <c r="A97" s="15" t="s">
        <v>296</v>
      </c>
      <c r="B97" s="15" t="s">
        <v>3</v>
      </c>
      <c r="C97" s="15" t="s">
        <v>297</v>
      </c>
      <c r="D97" s="15" t="s">
        <v>109</v>
      </c>
      <c r="E97" s="15" t="s">
        <v>110</v>
      </c>
      <c r="F97" s="15">
        <v>1238</v>
      </c>
      <c r="G97" s="15">
        <v>366</v>
      </c>
      <c r="H97" s="15">
        <v>444</v>
      </c>
      <c r="I97" s="15">
        <v>19808</v>
      </c>
      <c r="J97" s="15">
        <v>19334</v>
      </c>
      <c r="K97" s="15">
        <v>123</v>
      </c>
      <c r="L97" s="15" t="s">
        <v>137</v>
      </c>
      <c r="M97" s="15" t="s">
        <v>99</v>
      </c>
      <c r="N97" s="15">
        <f t="shared" si="1"/>
        <v>2048</v>
      </c>
    </row>
    <row r="98" spans="1:14" x14ac:dyDescent="0.3">
      <c r="A98" s="15" t="s">
        <v>298</v>
      </c>
      <c r="B98" s="15" t="s">
        <v>2</v>
      </c>
      <c r="C98" s="15" t="s">
        <v>299</v>
      </c>
      <c r="D98" s="15" t="s">
        <v>109</v>
      </c>
      <c r="E98" s="15" t="s">
        <v>110</v>
      </c>
      <c r="F98" s="15">
        <v>4739</v>
      </c>
      <c r="G98" s="15">
        <v>527</v>
      </c>
      <c r="H98" s="15">
        <v>135</v>
      </c>
      <c r="I98" s="15">
        <v>61607</v>
      </c>
      <c r="J98" s="15">
        <v>61333</v>
      </c>
      <c r="K98" s="15">
        <v>36</v>
      </c>
      <c r="L98" s="15" t="s">
        <v>121</v>
      </c>
      <c r="M98" s="15" t="s">
        <v>88</v>
      </c>
      <c r="N98" s="15">
        <f t="shared" si="1"/>
        <v>5401</v>
      </c>
    </row>
    <row r="99" spans="1:14" x14ac:dyDescent="0.3">
      <c r="A99" s="15" t="s">
        <v>300</v>
      </c>
      <c r="B99" s="15" t="s">
        <v>3</v>
      </c>
      <c r="C99" s="15" t="s">
        <v>208</v>
      </c>
      <c r="D99" s="15" t="s">
        <v>94</v>
      </c>
      <c r="E99" s="15" t="s">
        <v>95</v>
      </c>
      <c r="F99" s="15">
        <v>1575</v>
      </c>
      <c r="G99" s="15">
        <v>771</v>
      </c>
      <c r="H99" s="15">
        <v>486</v>
      </c>
      <c r="I99" s="15">
        <v>25200</v>
      </c>
      <c r="J99" s="15">
        <v>24826</v>
      </c>
      <c r="K99" s="15">
        <v>17</v>
      </c>
      <c r="L99" s="15" t="s">
        <v>118</v>
      </c>
      <c r="M99" s="15" t="s">
        <v>99</v>
      </c>
      <c r="N99" s="15">
        <f t="shared" si="1"/>
        <v>2832</v>
      </c>
    </row>
    <row r="100" spans="1:14" x14ac:dyDescent="0.3">
      <c r="A100" s="15" t="s">
        <v>301</v>
      </c>
      <c r="B100" s="15" t="s">
        <v>4</v>
      </c>
      <c r="C100" s="15" t="s">
        <v>302</v>
      </c>
      <c r="D100" s="15" t="s">
        <v>102</v>
      </c>
      <c r="E100" s="15" t="s">
        <v>103</v>
      </c>
      <c r="F100" s="15">
        <v>4171</v>
      </c>
      <c r="G100" s="15">
        <v>548</v>
      </c>
      <c r="H100" s="15">
        <v>86</v>
      </c>
      <c r="I100" s="15">
        <v>66736</v>
      </c>
      <c r="J100" s="15">
        <v>66634</v>
      </c>
      <c r="K100" s="15">
        <v>173</v>
      </c>
      <c r="L100" s="15" t="s">
        <v>118</v>
      </c>
      <c r="M100" s="15" t="s">
        <v>99</v>
      </c>
      <c r="N100" s="15">
        <f t="shared" si="1"/>
        <v>4805</v>
      </c>
    </row>
    <row r="101" spans="1:14" x14ac:dyDescent="0.3">
      <c r="A101" s="15" t="s">
        <v>303</v>
      </c>
      <c r="B101" s="15" t="s">
        <v>4</v>
      </c>
      <c r="C101" s="15" t="s">
        <v>304</v>
      </c>
      <c r="D101" s="15" t="s">
        <v>129</v>
      </c>
      <c r="E101" s="15" t="s">
        <v>130</v>
      </c>
      <c r="F101" s="15">
        <v>1766</v>
      </c>
      <c r="G101" s="15">
        <v>92</v>
      </c>
      <c r="H101" s="15">
        <v>424</v>
      </c>
      <c r="I101" s="15">
        <v>24724</v>
      </c>
      <c r="J101" s="15">
        <v>24333</v>
      </c>
      <c r="K101" s="15">
        <v>52</v>
      </c>
      <c r="L101" s="15" t="s">
        <v>118</v>
      </c>
      <c r="M101" s="15" t="s">
        <v>82</v>
      </c>
      <c r="N101" s="15">
        <f t="shared" si="1"/>
        <v>2282</v>
      </c>
    </row>
    <row r="102" spans="1:14" x14ac:dyDescent="0.3">
      <c r="A102" s="15" t="s">
        <v>305</v>
      </c>
      <c r="B102" s="15" t="s">
        <v>4</v>
      </c>
      <c r="C102" s="15" t="s">
        <v>255</v>
      </c>
      <c r="D102" s="15" t="s">
        <v>129</v>
      </c>
      <c r="E102" s="15" t="s">
        <v>130</v>
      </c>
      <c r="F102" s="15">
        <v>4450</v>
      </c>
      <c r="G102" s="15">
        <v>983</v>
      </c>
      <c r="H102" s="15">
        <v>143</v>
      </c>
      <c r="I102" s="15">
        <v>75650</v>
      </c>
      <c r="J102" s="15">
        <v>75008</v>
      </c>
      <c r="K102" s="15">
        <v>12</v>
      </c>
      <c r="L102" s="15" t="s">
        <v>142</v>
      </c>
      <c r="M102" s="15" t="s">
        <v>88</v>
      </c>
      <c r="N102" s="15">
        <f t="shared" si="1"/>
        <v>5576</v>
      </c>
    </row>
    <row r="103" spans="1:14" x14ac:dyDescent="0.3">
      <c r="A103" s="15" t="s">
        <v>306</v>
      </c>
      <c r="B103" s="15" t="s">
        <v>3</v>
      </c>
      <c r="C103" s="15" t="s">
        <v>307</v>
      </c>
      <c r="D103" s="15" t="s">
        <v>79</v>
      </c>
      <c r="E103" s="15" t="s">
        <v>80</v>
      </c>
      <c r="F103" s="15">
        <v>1000</v>
      </c>
      <c r="G103" s="15">
        <v>978</v>
      </c>
      <c r="H103" s="15">
        <v>162</v>
      </c>
      <c r="I103" s="15">
        <v>6000</v>
      </c>
      <c r="J103" s="15">
        <v>5221</v>
      </c>
      <c r="K103" s="15">
        <v>223</v>
      </c>
      <c r="L103" s="15" t="s">
        <v>165</v>
      </c>
      <c r="M103" s="15" t="s">
        <v>99</v>
      </c>
      <c r="N103" s="15">
        <f t="shared" si="1"/>
        <v>2140</v>
      </c>
    </row>
    <row r="104" spans="1:14" x14ac:dyDescent="0.3">
      <c r="A104" s="15" t="s">
        <v>308</v>
      </c>
      <c r="B104" s="15" t="s">
        <v>1</v>
      </c>
      <c r="C104" s="15" t="s">
        <v>309</v>
      </c>
      <c r="D104" s="15" t="s">
        <v>109</v>
      </c>
      <c r="E104" s="15" t="s">
        <v>110</v>
      </c>
      <c r="F104" s="15">
        <v>3689</v>
      </c>
      <c r="G104" s="15">
        <v>48</v>
      </c>
      <c r="H104" s="15">
        <v>306</v>
      </c>
      <c r="I104" s="15">
        <v>40579</v>
      </c>
      <c r="J104" s="15">
        <v>39588</v>
      </c>
      <c r="K104" s="15">
        <v>212</v>
      </c>
      <c r="L104" s="15" t="s">
        <v>104</v>
      </c>
      <c r="M104" s="15" t="s">
        <v>82</v>
      </c>
      <c r="N104" s="15">
        <f t="shared" si="1"/>
        <v>4043</v>
      </c>
    </row>
    <row r="105" spans="1:14" x14ac:dyDescent="0.3">
      <c r="A105" s="15" t="s">
        <v>310</v>
      </c>
      <c r="B105" s="15" t="s">
        <v>4</v>
      </c>
      <c r="C105" s="15" t="s">
        <v>311</v>
      </c>
      <c r="D105" s="15" t="s">
        <v>94</v>
      </c>
      <c r="E105" s="15" t="s">
        <v>95</v>
      </c>
      <c r="F105" s="15">
        <v>3655</v>
      </c>
      <c r="G105" s="15">
        <v>568</v>
      </c>
      <c r="H105" s="15">
        <v>286</v>
      </c>
      <c r="I105" s="15">
        <v>32895</v>
      </c>
      <c r="J105" s="15">
        <v>32015</v>
      </c>
      <c r="K105" s="15">
        <v>199</v>
      </c>
      <c r="L105" s="15" t="s">
        <v>104</v>
      </c>
      <c r="M105" s="15" t="s">
        <v>115</v>
      </c>
      <c r="N105" s="15">
        <f t="shared" si="1"/>
        <v>4509</v>
      </c>
    </row>
    <row r="106" spans="1:14" x14ac:dyDescent="0.3">
      <c r="A106" s="15" t="s">
        <v>312</v>
      </c>
      <c r="B106" s="15" t="s">
        <v>2</v>
      </c>
      <c r="C106" s="15" t="s">
        <v>313</v>
      </c>
      <c r="D106" s="15" t="s">
        <v>102</v>
      </c>
      <c r="E106" s="15" t="s">
        <v>103</v>
      </c>
      <c r="F106" s="15">
        <v>498</v>
      </c>
      <c r="G106" s="15">
        <v>38</v>
      </c>
      <c r="H106" s="15">
        <v>42</v>
      </c>
      <c r="I106" s="15">
        <v>4482</v>
      </c>
      <c r="J106" s="15">
        <v>3647</v>
      </c>
      <c r="K106" s="15">
        <v>32</v>
      </c>
      <c r="L106" s="15" t="s">
        <v>222</v>
      </c>
      <c r="M106" s="15" t="s">
        <v>115</v>
      </c>
      <c r="N106" s="15">
        <f t="shared" si="1"/>
        <v>578</v>
      </c>
    </row>
    <row r="107" spans="1:14" x14ac:dyDescent="0.3">
      <c r="A107" s="15" t="s">
        <v>314</v>
      </c>
      <c r="B107" s="15" t="s">
        <v>2</v>
      </c>
      <c r="C107" s="15" t="s">
        <v>315</v>
      </c>
      <c r="D107" s="15" t="s">
        <v>109</v>
      </c>
      <c r="E107" s="15" t="s">
        <v>110</v>
      </c>
      <c r="F107" s="15">
        <v>4619</v>
      </c>
      <c r="G107" s="15">
        <v>821</v>
      </c>
      <c r="H107" s="15">
        <v>499</v>
      </c>
      <c r="I107" s="15">
        <v>69285</v>
      </c>
      <c r="J107" s="15">
        <v>69141</v>
      </c>
      <c r="K107" s="15">
        <v>298</v>
      </c>
      <c r="L107" s="15" t="s">
        <v>87</v>
      </c>
      <c r="M107" s="15" t="s">
        <v>82</v>
      </c>
      <c r="N107" s="15">
        <f t="shared" si="1"/>
        <v>5939</v>
      </c>
    </row>
    <row r="108" spans="1:14" x14ac:dyDescent="0.3">
      <c r="A108" s="15" t="s">
        <v>316</v>
      </c>
      <c r="B108" s="15" t="s">
        <v>4</v>
      </c>
      <c r="C108" s="15" t="s">
        <v>317</v>
      </c>
      <c r="D108" s="15" t="s">
        <v>109</v>
      </c>
      <c r="E108" s="15" t="s">
        <v>110</v>
      </c>
      <c r="F108" s="15">
        <v>4832</v>
      </c>
      <c r="G108" s="15">
        <v>893</v>
      </c>
      <c r="H108" s="15">
        <v>10</v>
      </c>
      <c r="I108" s="15">
        <v>91808</v>
      </c>
      <c r="J108" s="15">
        <v>91296</v>
      </c>
      <c r="K108" s="15">
        <v>182</v>
      </c>
      <c r="L108" s="15" t="s">
        <v>142</v>
      </c>
      <c r="M108" s="15" t="s">
        <v>99</v>
      </c>
      <c r="N108" s="15">
        <f t="shared" si="1"/>
        <v>5735</v>
      </c>
    </row>
    <row r="109" spans="1:14" x14ac:dyDescent="0.3">
      <c r="A109" s="15" t="s">
        <v>318</v>
      </c>
      <c r="B109" s="15" t="s">
        <v>3</v>
      </c>
      <c r="C109" s="15" t="s">
        <v>319</v>
      </c>
      <c r="D109" s="15" t="s">
        <v>129</v>
      </c>
      <c r="E109" s="15" t="s">
        <v>130</v>
      </c>
      <c r="F109" s="15">
        <v>4050</v>
      </c>
      <c r="G109" s="15">
        <v>871</v>
      </c>
      <c r="H109" s="15">
        <v>347</v>
      </c>
      <c r="I109" s="15">
        <v>52650</v>
      </c>
      <c r="J109" s="15">
        <v>51755</v>
      </c>
      <c r="K109" s="15">
        <v>209</v>
      </c>
      <c r="L109" s="15" t="s">
        <v>222</v>
      </c>
      <c r="M109" s="15" t="s">
        <v>82</v>
      </c>
      <c r="N109" s="15">
        <f t="shared" si="1"/>
        <v>5268</v>
      </c>
    </row>
    <row r="110" spans="1:14" x14ac:dyDescent="0.3">
      <c r="A110" s="15" t="s">
        <v>320</v>
      </c>
      <c r="B110" s="15" t="s">
        <v>3</v>
      </c>
      <c r="C110" s="15" t="s">
        <v>321</v>
      </c>
      <c r="D110" s="15" t="s">
        <v>94</v>
      </c>
      <c r="E110" s="15" t="s">
        <v>95</v>
      </c>
      <c r="F110" s="15">
        <v>3649</v>
      </c>
      <c r="G110" s="15">
        <v>215</v>
      </c>
      <c r="H110" s="15">
        <v>413</v>
      </c>
      <c r="I110" s="15">
        <v>25543</v>
      </c>
      <c r="J110" s="15">
        <v>24963</v>
      </c>
      <c r="K110" s="15">
        <v>167</v>
      </c>
      <c r="L110" s="15" t="s">
        <v>206</v>
      </c>
      <c r="M110" s="15" t="s">
        <v>82</v>
      </c>
      <c r="N110" s="15">
        <f t="shared" si="1"/>
        <v>4277</v>
      </c>
    </row>
    <row r="111" spans="1:14" x14ac:dyDescent="0.3">
      <c r="A111" s="15" t="s">
        <v>322</v>
      </c>
      <c r="B111" s="15" t="s">
        <v>2</v>
      </c>
      <c r="C111" s="15" t="s">
        <v>323</v>
      </c>
      <c r="D111" s="15" t="s">
        <v>79</v>
      </c>
      <c r="E111" s="15" t="s">
        <v>80</v>
      </c>
      <c r="F111" s="15">
        <v>3523</v>
      </c>
      <c r="G111" s="15">
        <v>753</v>
      </c>
      <c r="H111" s="15">
        <v>482</v>
      </c>
      <c r="I111" s="15">
        <v>38753</v>
      </c>
      <c r="J111" s="15">
        <v>38579</v>
      </c>
      <c r="K111" s="15">
        <v>270</v>
      </c>
      <c r="L111" s="15" t="s">
        <v>324</v>
      </c>
      <c r="M111" s="15" t="s">
        <v>88</v>
      </c>
      <c r="N111" s="15">
        <f t="shared" si="1"/>
        <v>4758</v>
      </c>
    </row>
    <row r="112" spans="1:14" x14ac:dyDescent="0.3">
      <c r="A112" s="15" t="s">
        <v>325</v>
      </c>
      <c r="B112" s="15" t="s">
        <v>4</v>
      </c>
      <c r="C112" s="15" t="s">
        <v>326</v>
      </c>
      <c r="D112" s="15" t="s">
        <v>109</v>
      </c>
      <c r="E112" s="15" t="s">
        <v>110</v>
      </c>
      <c r="F112" s="15">
        <v>2719</v>
      </c>
      <c r="G112" s="15">
        <v>17</v>
      </c>
      <c r="H112" s="15">
        <v>285</v>
      </c>
      <c r="I112" s="15">
        <v>40785</v>
      </c>
      <c r="J112" s="15">
        <v>40281</v>
      </c>
      <c r="K112" s="15">
        <v>40</v>
      </c>
      <c r="L112" s="15" t="s">
        <v>206</v>
      </c>
      <c r="M112" s="15" t="s">
        <v>99</v>
      </c>
      <c r="N112" s="15">
        <f t="shared" si="1"/>
        <v>3021</v>
      </c>
    </row>
    <row r="113" spans="1:14" x14ac:dyDescent="0.3">
      <c r="A113" s="15" t="s">
        <v>327</v>
      </c>
      <c r="B113" s="15" t="s">
        <v>3</v>
      </c>
      <c r="C113" s="15" t="s">
        <v>328</v>
      </c>
      <c r="D113" s="15" t="s">
        <v>94</v>
      </c>
      <c r="E113" s="15" t="s">
        <v>95</v>
      </c>
      <c r="F113" s="15">
        <v>1957</v>
      </c>
      <c r="G113" s="15">
        <v>877</v>
      </c>
      <c r="H113" s="15">
        <v>238</v>
      </c>
      <c r="I113" s="15">
        <v>17613</v>
      </c>
      <c r="J113" s="15">
        <v>16865</v>
      </c>
      <c r="K113" s="15">
        <v>297</v>
      </c>
      <c r="L113" s="15" t="s">
        <v>91</v>
      </c>
      <c r="M113" s="15" t="s">
        <v>99</v>
      </c>
      <c r="N113" s="15">
        <f t="shared" si="1"/>
        <v>3072</v>
      </c>
    </row>
    <row r="114" spans="1:14" x14ac:dyDescent="0.3">
      <c r="A114" s="15" t="s">
        <v>329</v>
      </c>
      <c r="B114" s="15" t="s">
        <v>3</v>
      </c>
      <c r="C114" s="15" t="s">
        <v>330</v>
      </c>
      <c r="D114" s="15" t="s">
        <v>102</v>
      </c>
      <c r="E114" s="15" t="s">
        <v>103</v>
      </c>
      <c r="F114" s="15">
        <v>4419</v>
      </c>
      <c r="G114" s="15">
        <v>236</v>
      </c>
      <c r="H114" s="15">
        <v>369</v>
      </c>
      <c r="I114" s="15">
        <v>44190</v>
      </c>
      <c r="J114" s="15">
        <v>43582</v>
      </c>
      <c r="K114" s="15">
        <v>10</v>
      </c>
      <c r="L114" s="15" t="s">
        <v>104</v>
      </c>
      <c r="M114" s="15" t="s">
        <v>115</v>
      </c>
      <c r="N114" s="15">
        <f t="shared" si="1"/>
        <v>5024</v>
      </c>
    </row>
    <row r="115" spans="1:14" x14ac:dyDescent="0.3">
      <c r="A115" s="15" t="s">
        <v>331</v>
      </c>
      <c r="B115" s="15" t="s">
        <v>3</v>
      </c>
      <c r="C115" s="15" t="s">
        <v>332</v>
      </c>
      <c r="D115" s="15" t="s">
        <v>94</v>
      </c>
      <c r="E115" s="15" t="s">
        <v>95</v>
      </c>
      <c r="F115" s="15">
        <v>4000</v>
      </c>
      <c r="G115" s="15">
        <v>689</v>
      </c>
      <c r="H115" s="15">
        <v>488</v>
      </c>
      <c r="I115" s="15">
        <v>40000</v>
      </c>
      <c r="J115" s="15">
        <v>39569</v>
      </c>
      <c r="K115" s="15">
        <v>44</v>
      </c>
      <c r="L115" s="15" t="s">
        <v>204</v>
      </c>
      <c r="M115" s="15" t="s">
        <v>99</v>
      </c>
      <c r="N115" s="15">
        <f t="shared" si="1"/>
        <v>5177</v>
      </c>
    </row>
    <row r="116" spans="1:14" x14ac:dyDescent="0.3">
      <c r="A116" s="15" t="s">
        <v>333</v>
      </c>
      <c r="B116" s="15" t="s">
        <v>3</v>
      </c>
      <c r="C116" s="15" t="s">
        <v>334</v>
      </c>
      <c r="D116" s="15" t="s">
        <v>109</v>
      </c>
      <c r="E116" s="15" t="s">
        <v>110</v>
      </c>
      <c r="F116" s="15">
        <v>2493</v>
      </c>
      <c r="G116" s="15">
        <v>97</v>
      </c>
      <c r="H116" s="15">
        <v>44</v>
      </c>
      <c r="I116" s="15">
        <v>42381</v>
      </c>
      <c r="J116" s="15">
        <v>41991</v>
      </c>
      <c r="K116" s="15">
        <v>242</v>
      </c>
      <c r="L116" s="15" t="s">
        <v>142</v>
      </c>
      <c r="M116" s="15" t="s">
        <v>82</v>
      </c>
      <c r="N116" s="15">
        <f t="shared" si="1"/>
        <v>2634</v>
      </c>
    </row>
    <row r="117" spans="1:14" x14ac:dyDescent="0.3">
      <c r="A117" s="15" t="s">
        <v>335</v>
      </c>
      <c r="B117" s="15" t="s">
        <v>4</v>
      </c>
      <c r="C117" s="15" t="s">
        <v>336</v>
      </c>
      <c r="D117" s="15" t="s">
        <v>79</v>
      </c>
      <c r="E117" s="15" t="s">
        <v>80</v>
      </c>
      <c r="F117" s="15">
        <v>3704</v>
      </c>
      <c r="G117" s="15">
        <v>186</v>
      </c>
      <c r="H117" s="15">
        <v>458</v>
      </c>
      <c r="I117" s="15">
        <v>25928</v>
      </c>
      <c r="J117" s="15">
        <v>25081</v>
      </c>
      <c r="K117" s="15">
        <v>131</v>
      </c>
      <c r="L117" s="15" t="s">
        <v>118</v>
      </c>
      <c r="M117" s="15" t="s">
        <v>82</v>
      </c>
      <c r="N117" s="15">
        <f t="shared" si="1"/>
        <v>4348</v>
      </c>
    </row>
    <row r="118" spans="1:14" x14ac:dyDescent="0.3">
      <c r="A118" s="15" t="s">
        <v>337</v>
      </c>
      <c r="B118" s="15" t="s">
        <v>3</v>
      </c>
      <c r="C118" s="15" t="s">
        <v>338</v>
      </c>
      <c r="D118" s="15" t="s">
        <v>109</v>
      </c>
      <c r="E118" s="15" t="s">
        <v>110</v>
      </c>
      <c r="F118" s="15">
        <v>1606</v>
      </c>
      <c r="G118" s="15">
        <v>451</v>
      </c>
      <c r="H118" s="15">
        <v>405</v>
      </c>
      <c r="I118" s="15">
        <v>20878</v>
      </c>
      <c r="J118" s="15">
        <v>20190</v>
      </c>
      <c r="K118" s="15">
        <v>219</v>
      </c>
      <c r="L118" s="15" t="s">
        <v>142</v>
      </c>
      <c r="M118" s="15" t="s">
        <v>88</v>
      </c>
      <c r="N118" s="15">
        <f t="shared" si="1"/>
        <v>2462</v>
      </c>
    </row>
    <row r="119" spans="1:14" x14ac:dyDescent="0.3">
      <c r="A119" s="15" t="s">
        <v>339</v>
      </c>
      <c r="B119" s="15" t="s">
        <v>1</v>
      </c>
      <c r="C119" s="15" t="s">
        <v>338</v>
      </c>
      <c r="D119" s="15" t="s">
        <v>109</v>
      </c>
      <c r="E119" s="15" t="s">
        <v>110</v>
      </c>
      <c r="F119" s="15">
        <v>4551</v>
      </c>
      <c r="G119" s="15">
        <v>714</v>
      </c>
      <c r="H119" s="15">
        <v>207</v>
      </c>
      <c r="I119" s="15">
        <v>68265</v>
      </c>
      <c r="J119" s="15">
        <v>67754</v>
      </c>
      <c r="K119" s="15">
        <v>57</v>
      </c>
      <c r="L119" s="15" t="s">
        <v>104</v>
      </c>
      <c r="M119" s="15" t="s">
        <v>88</v>
      </c>
      <c r="N119" s="15">
        <f t="shared" si="1"/>
        <v>5472</v>
      </c>
    </row>
    <row r="120" spans="1:14" x14ac:dyDescent="0.3">
      <c r="A120" s="15" t="s">
        <v>340</v>
      </c>
      <c r="B120" s="15" t="s">
        <v>2</v>
      </c>
      <c r="C120" s="15" t="s">
        <v>341</v>
      </c>
      <c r="D120" s="15" t="s">
        <v>79</v>
      </c>
      <c r="E120" s="15" t="s">
        <v>80</v>
      </c>
      <c r="F120" s="15">
        <v>1970</v>
      </c>
      <c r="G120" s="15">
        <v>675</v>
      </c>
      <c r="H120" s="15">
        <v>478</v>
      </c>
      <c r="I120" s="15">
        <v>9850</v>
      </c>
      <c r="J120" s="15">
        <v>8924</v>
      </c>
      <c r="K120" s="15">
        <v>117</v>
      </c>
      <c r="L120" s="15" t="s">
        <v>104</v>
      </c>
      <c r="M120" s="15" t="s">
        <v>115</v>
      </c>
      <c r="N120" s="15">
        <f t="shared" si="1"/>
        <v>3123</v>
      </c>
    </row>
    <row r="121" spans="1:14" x14ac:dyDescent="0.3">
      <c r="A121" s="15" t="s">
        <v>342</v>
      </c>
      <c r="B121" s="15" t="s">
        <v>1</v>
      </c>
      <c r="C121" s="15" t="s">
        <v>224</v>
      </c>
      <c r="D121" s="15" t="s">
        <v>94</v>
      </c>
      <c r="E121" s="15" t="s">
        <v>95</v>
      </c>
      <c r="F121" s="15">
        <v>780</v>
      </c>
      <c r="G121" s="15">
        <v>928</v>
      </c>
      <c r="H121" s="15">
        <v>301</v>
      </c>
      <c r="I121" s="15">
        <v>8580</v>
      </c>
      <c r="J121" s="15">
        <v>8081</v>
      </c>
      <c r="K121" s="15">
        <v>91</v>
      </c>
      <c r="L121" s="15" t="s">
        <v>126</v>
      </c>
      <c r="M121" s="15" t="s">
        <v>115</v>
      </c>
      <c r="N121" s="15">
        <f t="shared" si="1"/>
        <v>2009</v>
      </c>
    </row>
    <row r="122" spans="1:14" x14ac:dyDescent="0.3">
      <c r="A122" s="15" t="s">
        <v>343</v>
      </c>
      <c r="B122" s="15" t="s">
        <v>2</v>
      </c>
      <c r="C122" s="15" t="s">
        <v>323</v>
      </c>
      <c r="D122" s="15" t="s">
        <v>94</v>
      </c>
      <c r="E122" s="15" t="s">
        <v>95</v>
      </c>
      <c r="F122" s="15">
        <v>498</v>
      </c>
      <c r="G122" s="15">
        <v>701</v>
      </c>
      <c r="H122" s="15">
        <v>412</v>
      </c>
      <c r="I122" s="15">
        <v>4980</v>
      </c>
      <c r="J122" s="15">
        <v>4185</v>
      </c>
      <c r="K122" s="15">
        <v>185</v>
      </c>
      <c r="L122" s="15" t="s">
        <v>324</v>
      </c>
      <c r="M122" s="15" t="s">
        <v>115</v>
      </c>
      <c r="N122" s="15">
        <f t="shared" si="1"/>
        <v>1611</v>
      </c>
    </row>
    <row r="123" spans="1:14" x14ac:dyDescent="0.3">
      <c r="A123" s="15" t="s">
        <v>344</v>
      </c>
      <c r="B123" s="15" t="s">
        <v>2</v>
      </c>
      <c r="C123" s="15" t="s">
        <v>330</v>
      </c>
      <c r="D123" s="15" t="s">
        <v>85</v>
      </c>
      <c r="E123" s="15" t="s">
        <v>86</v>
      </c>
      <c r="F123" s="15">
        <v>3432</v>
      </c>
      <c r="G123" s="15">
        <v>869</v>
      </c>
      <c r="H123" s="15">
        <v>123</v>
      </c>
      <c r="I123" s="15">
        <v>54912</v>
      </c>
      <c r="J123" s="15">
        <v>53916</v>
      </c>
      <c r="K123" s="15">
        <v>264</v>
      </c>
      <c r="L123" s="15" t="s">
        <v>345</v>
      </c>
      <c r="M123" s="15" t="s">
        <v>88</v>
      </c>
      <c r="N123" s="15">
        <f t="shared" si="1"/>
        <v>4424</v>
      </c>
    </row>
    <row r="124" spans="1:14" x14ac:dyDescent="0.3">
      <c r="A124" s="15" t="s">
        <v>346</v>
      </c>
      <c r="B124" s="15" t="s">
        <v>2</v>
      </c>
      <c r="C124" s="15" t="s">
        <v>313</v>
      </c>
      <c r="D124" s="15" t="s">
        <v>94</v>
      </c>
      <c r="E124" s="15" t="s">
        <v>95</v>
      </c>
      <c r="F124" s="15">
        <v>4363</v>
      </c>
      <c r="G124" s="15">
        <v>649</v>
      </c>
      <c r="H124" s="15">
        <v>140</v>
      </c>
      <c r="I124" s="15">
        <v>21815</v>
      </c>
      <c r="J124" s="15">
        <v>21481</v>
      </c>
      <c r="K124" s="15">
        <v>157</v>
      </c>
      <c r="L124" s="15" t="s">
        <v>126</v>
      </c>
      <c r="M124" s="15" t="s">
        <v>88</v>
      </c>
      <c r="N124" s="15">
        <f t="shared" si="1"/>
        <v>5152</v>
      </c>
    </row>
    <row r="125" spans="1:14" x14ac:dyDescent="0.3">
      <c r="A125" s="15" t="s">
        <v>347</v>
      </c>
      <c r="B125" s="15" t="s">
        <v>4</v>
      </c>
      <c r="C125" s="15" t="s">
        <v>348</v>
      </c>
      <c r="D125" s="15" t="s">
        <v>102</v>
      </c>
      <c r="E125" s="15" t="s">
        <v>103</v>
      </c>
      <c r="F125" s="15">
        <v>736</v>
      </c>
      <c r="G125" s="15">
        <v>771</v>
      </c>
      <c r="H125" s="15">
        <v>225</v>
      </c>
      <c r="I125" s="15">
        <v>5152</v>
      </c>
      <c r="J125" s="15">
        <v>4706</v>
      </c>
      <c r="K125" s="15">
        <v>19</v>
      </c>
      <c r="L125" s="15" t="s">
        <v>118</v>
      </c>
      <c r="M125" s="15" t="s">
        <v>99</v>
      </c>
      <c r="N125" s="15">
        <f t="shared" si="1"/>
        <v>1732</v>
      </c>
    </row>
    <row r="126" spans="1:14" x14ac:dyDescent="0.3">
      <c r="A126" s="15" t="s">
        <v>349</v>
      </c>
      <c r="B126" s="15" t="s">
        <v>3</v>
      </c>
      <c r="C126" s="15" t="s">
        <v>350</v>
      </c>
      <c r="D126" s="15" t="s">
        <v>102</v>
      </c>
      <c r="E126" s="15" t="s">
        <v>103</v>
      </c>
      <c r="F126" s="15">
        <v>3811</v>
      </c>
      <c r="G126" s="15">
        <v>866</v>
      </c>
      <c r="H126" s="15">
        <v>216</v>
      </c>
      <c r="I126" s="15">
        <v>34299</v>
      </c>
      <c r="J126" s="15">
        <v>34088</v>
      </c>
      <c r="K126" s="15">
        <v>233</v>
      </c>
      <c r="L126" s="15" t="s">
        <v>118</v>
      </c>
      <c r="M126" s="15" t="s">
        <v>99</v>
      </c>
      <c r="N126" s="15">
        <f t="shared" si="1"/>
        <v>4893</v>
      </c>
    </row>
    <row r="127" spans="1:14" x14ac:dyDescent="0.3">
      <c r="A127" s="15" t="s">
        <v>351</v>
      </c>
      <c r="B127" s="15" t="s">
        <v>2</v>
      </c>
      <c r="C127" s="15" t="s">
        <v>240</v>
      </c>
      <c r="D127" s="15" t="s">
        <v>102</v>
      </c>
      <c r="E127" s="15" t="s">
        <v>103</v>
      </c>
      <c r="F127" s="15">
        <v>4158</v>
      </c>
      <c r="G127" s="15">
        <v>167</v>
      </c>
      <c r="H127" s="15">
        <v>241</v>
      </c>
      <c r="I127" s="15">
        <v>45738</v>
      </c>
      <c r="J127" s="15">
        <v>45183</v>
      </c>
      <c r="K127" s="15">
        <v>142</v>
      </c>
      <c r="L127" s="15" t="s">
        <v>87</v>
      </c>
      <c r="M127" s="15" t="s">
        <v>88</v>
      </c>
      <c r="N127" s="15">
        <f t="shared" si="1"/>
        <v>4566</v>
      </c>
    </row>
    <row r="128" spans="1:14" x14ac:dyDescent="0.3">
      <c r="A128" s="15" t="s">
        <v>352</v>
      </c>
      <c r="B128" s="15" t="s">
        <v>1</v>
      </c>
      <c r="C128" s="15" t="s">
        <v>279</v>
      </c>
      <c r="D128" s="15" t="s">
        <v>79</v>
      </c>
      <c r="E128" s="15" t="s">
        <v>80</v>
      </c>
      <c r="F128" s="15">
        <v>3452</v>
      </c>
      <c r="G128" s="15">
        <v>652</v>
      </c>
      <c r="H128" s="15">
        <v>442</v>
      </c>
      <c r="I128" s="15">
        <v>65588</v>
      </c>
      <c r="J128" s="15">
        <v>65049</v>
      </c>
      <c r="K128" s="15">
        <v>158</v>
      </c>
      <c r="L128" s="15" t="s">
        <v>142</v>
      </c>
      <c r="M128" s="15" t="s">
        <v>82</v>
      </c>
      <c r="N128" s="15">
        <f t="shared" si="1"/>
        <v>4546</v>
      </c>
    </row>
    <row r="129" spans="1:14" x14ac:dyDescent="0.3">
      <c r="A129" s="15" t="s">
        <v>353</v>
      </c>
      <c r="B129" s="15" t="s">
        <v>3</v>
      </c>
      <c r="C129" s="15" t="s">
        <v>285</v>
      </c>
      <c r="D129" s="15" t="s">
        <v>109</v>
      </c>
      <c r="E129" s="15" t="s">
        <v>110</v>
      </c>
      <c r="F129" s="15">
        <v>3092</v>
      </c>
      <c r="G129" s="15">
        <v>106</v>
      </c>
      <c r="H129" s="15">
        <v>291</v>
      </c>
      <c r="I129" s="15">
        <v>27828</v>
      </c>
      <c r="J129" s="15">
        <v>27217</v>
      </c>
      <c r="K129" s="15">
        <v>102</v>
      </c>
      <c r="L129" s="15" t="s">
        <v>118</v>
      </c>
      <c r="M129" s="15" t="s">
        <v>115</v>
      </c>
      <c r="N129" s="15">
        <f t="shared" si="1"/>
        <v>3489</v>
      </c>
    </row>
    <row r="130" spans="1:14" x14ac:dyDescent="0.3">
      <c r="A130" s="15" t="s">
        <v>354</v>
      </c>
      <c r="B130" s="15" t="s">
        <v>3</v>
      </c>
      <c r="C130" s="15" t="s">
        <v>120</v>
      </c>
      <c r="D130" s="15" t="s">
        <v>85</v>
      </c>
      <c r="E130" s="15" t="s">
        <v>86</v>
      </c>
      <c r="F130" s="15">
        <v>2147</v>
      </c>
      <c r="G130" s="15">
        <v>430</v>
      </c>
      <c r="H130" s="15">
        <v>393</v>
      </c>
      <c r="I130" s="15">
        <v>17176</v>
      </c>
      <c r="J130" s="15">
        <v>16483</v>
      </c>
      <c r="K130" s="15">
        <v>170</v>
      </c>
      <c r="L130" s="15" t="s">
        <v>137</v>
      </c>
      <c r="M130" s="15" t="s">
        <v>115</v>
      </c>
      <c r="N130" s="15">
        <f t="shared" si="1"/>
        <v>2970</v>
      </c>
    </row>
    <row r="131" spans="1:14" x14ac:dyDescent="0.3">
      <c r="A131" s="15" t="s">
        <v>355</v>
      </c>
      <c r="B131" s="15" t="s">
        <v>4</v>
      </c>
      <c r="C131" s="15" t="s">
        <v>356</v>
      </c>
      <c r="D131" s="15" t="s">
        <v>79</v>
      </c>
      <c r="E131" s="15" t="s">
        <v>80</v>
      </c>
      <c r="F131" s="15">
        <v>2936</v>
      </c>
      <c r="G131" s="15">
        <v>439</v>
      </c>
      <c r="H131" s="15">
        <v>44</v>
      </c>
      <c r="I131" s="15">
        <v>38168</v>
      </c>
      <c r="J131" s="15">
        <v>37571</v>
      </c>
      <c r="K131" s="15">
        <v>22</v>
      </c>
      <c r="L131" s="15" t="s">
        <v>81</v>
      </c>
      <c r="M131" s="15" t="s">
        <v>99</v>
      </c>
      <c r="N131" s="15">
        <f t="shared" ref="N131:N194" si="2">SUM(F131,G131,H131)</f>
        <v>3419</v>
      </c>
    </row>
    <row r="132" spans="1:14" x14ac:dyDescent="0.3">
      <c r="A132" s="15" t="s">
        <v>357</v>
      </c>
      <c r="B132" s="15" t="s">
        <v>2</v>
      </c>
      <c r="C132" s="15" t="s">
        <v>224</v>
      </c>
      <c r="D132" s="15" t="s">
        <v>79</v>
      </c>
      <c r="E132" s="15" t="s">
        <v>80</v>
      </c>
      <c r="F132" s="15">
        <v>4840</v>
      </c>
      <c r="G132" s="15">
        <v>658</v>
      </c>
      <c r="H132" s="15">
        <v>211</v>
      </c>
      <c r="I132" s="15">
        <v>43560</v>
      </c>
      <c r="J132" s="15">
        <v>43225</v>
      </c>
      <c r="K132" s="15">
        <v>57</v>
      </c>
      <c r="L132" s="15" t="s">
        <v>126</v>
      </c>
      <c r="M132" s="15" t="s">
        <v>88</v>
      </c>
      <c r="N132" s="15">
        <f t="shared" si="2"/>
        <v>5709</v>
      </c>
    </row>
    <row r="133" spans="1:14" x14ac:dyDescent="0.3">
      <c r="A133" s="15" t="s">
        <v>358</v>
      </c>
      <c r="B133" s="15" t="s">
        <v>2</v>
      </c>
      <c r="C133" s="15" t="s">
        <v>161</v>
      </c>
      <c r="D133" s="15" t="s">
        <v>94</v>
      </c>
      <c r="E133" s="15" t="s">
        <v>95</v>
      </c>
      <c r="F133" s="15">
        <v>1947</v>
      </c>
      <c r="G133" s="15">
        <v>842</v>
      </c>
      <c r="H133" s="15">
        <v>101</v>
      </c>
      <c r="I133" s="15">
        <v>21417</v>
      </c>
      <c r="J133" s="15">
        <v>20967</v>
      </c>
      <c r="K133" s="15">
        <v>186</v>
      </c>
      <c r="L133" s="15" t="s">
        <v>87</v>
      </c>
      <c r="M133" s="15" t="s">
        <v>88</v>
      </c>
      <c r="N133" s="15">
        <f t="shared" si="2"/>
        <v>2890</v>
      </c>
    </row>
    <row r="134" spans="1:14" x14ac:dyDescent="0.3">
      <c r="A134" s="15" t="s">
        <v>359</v>
      </c>
      <c r="B134" s="15" t="s">
        <v>1</v>
      </c>
      <c r="C134" s="15" t="s">
        <v>360</v>
      </c>
      <c r="D134" s="15" t="s">
        <v>109</v>
      </c>
      <c r="E134" s="15" t="s">
        <v>110</v>
      </c>
      <c r="F134" s="15">
        <v>2072</v>
      </c>
      <c r="G134" s="15">
        <v>532</v>
      </c>
      <c r="H134" s="15">
        <v>71</v>
      </c>
      <c r="I134" s="15">
        <v>37296</v>
      </c>
      <c r="J134" s="15">
        <v>36467</v>
      </c>
      <c r="K134" s="15">
        <v>25</v>
      </c>
      <c r="L134" s="15" t="s">
        <v>81</v>
      </c>
      <c r="M134" s="15" t="s">
        <v>99</v>
      </c>
      <c r="N134" s="15">
        <f t="shared" si="2"/>
        <v>2675</v>
      </c>
    </row>
    <row r="135" spans="1:14" x14ac:dyDescent="0.3">
      <c r="A135" s="15" t="s">
        <v>361</v>
      </c>
      <c r="B135" s="15" t="s">
        <v>3</v>
      </c>
      <c r="C135" s="15" t="s">
        <v>362</v>
      </c>
      <c r="D135" s="15" t="s">
        <v>79</v>
      </c>
      <c r="E135" s="15" t="s">
        <v>80</v>
      </c>
      <c r="F135" s="15">
        <v>3731</v>
      </c>
      <c r="G135" s="15">
        <v>115</v>
      </c>
      <c r="H135" s="15">
        <v>135</v>
      </c>
      <c r="I135" s="15">
        <v>55965</v>
      </c>
      <c r="J135" s="15">
        <v>55436</v>
      </c>
      <c r="K135" s="15">
        <v>103</v>
      </c>
      <c r="L135" s="15" t="s">
        <v>137</v>
      </c>
      <c r="M135" s="15" t="s">
        <v>115</v>
      </c>
      <c r="N135" s="15">
        <f t="shared" si="2"/>
        <v>3981</v>
      </c>
    </row>
    <row r="136" spans="1:14" x14ac:dyDescent="0.3">
      <c r="A136" s="15" t="s">
        <v>363</v>
      </c>
      <c r="B136" s="15" t="s">
        <v>1</v>
      </c>
      <c r="C136" s="15" t="s">
        <v>364</v>
      </c>
      <c r="D136" s="15" t="s">
        <v>85</v>
      </c>
      <c r="E136" s="15" t="s">
        <v>86</v>
      </c>
      <c r="F136" s="15">
        <v>4213</v>
      </c>
      <c r="G136" s="15">
        <v>253</v>
      </c>
      <c r="H136" s="15">
        <v>434</v>
      </c>
      <c r="I136" s="15">
        <v>75834</v>
      </c>
      <c r="J136" s="15">
        <v>75437</v>
      </c>
      <c r="K136" s="15">
        <v>272</v>
      </c>
      <c r="L136" s="15" t="s">
        <v>104</v>
      </c>
      <c r="M136" s="15" t="s">
        <v>99</v>
      </c>
      <c r="N136" s="15">
        <f t="shared" si="2"/>
        <v>4900</v>
      </c>
    </row>
    <row r="137" spans="1:14" x14ac:dyDescent="0.3">
      <c r="A137" s="15" t="s">
        <v>365</v>
      </c>
      <c r="B137" s="15" t="s">
        <v>2</v>
      </c>
      <c r="C137" s="15" t="s">
        <v>366</v>
      </c>
      <c r="D137" s="15" t="s">
        <v>85</v>
      </c>
      <c r="E137" s="15" t="s">
        <v>86</v>
      </c>
      <c r="F137" s="15">
        <v>3134</v>
      </c>
      <c r="G137" s="15">
        <v>888</v>
      </c>
      <c r="H137" s="15">
        <v>444</v>
      </c>
      <c r="I137" s="15">
        <v>21938</v>
      </c>
      <c r="J137" s="15">
        <v>21337</v>
      </c>
      <c r="K137" s="15">
        <v>130</v>
      </c>
      <c r="L137" s="15" t="s">
        <v>126</v>
      </c>
      <c r="M137" s="15" t="s">
        <v>115</v>
      </c>
      <c r="N137" s="15">
        <f t="shared" si="2"/>
        <v>4466</v>
      </c>
    </row>
    <row r="138" spans="1:14" x14ac:dyDescent="0.3">
      <c r="A138" s="15" t="s">
        <v>367</v>
      </c>
      <c r="B138" s="15" t="s">
        <v>1</v>
      </c>
      <c r="C138" s="15" t="s">
        <v>171</v>
      </c>
      <c r="D138" s="15" t="s">
        <v>129</v>
      </c>
      <c r="E138" s="15" t="s">
        <v>130</v>
      </c>
      <c r="F138" s="15">
        <v>3008</v>
      </c>
      <c r="G138" s="15">
        <v>94</v>
      </c>
      <c r="H138" s="15">
        <v>37</v>
      </c>
      <c r="I138" s="15">
        <v>15040</v>
      </c>
      <c r="J138" s="15">
        <v>14639</v>
      </c>
      <c r="K138" s="15">
        <v>277</v>
      </c>
      <c r="L138" s="15" t="s">
        <v>137</v>
      </c>
      <c r="M138" s="15" t="s">
        <v>82</v>
      </c>
      <c r="N138" s="15">
        <f t="shared" si="2"/>
        <v>3139</v>
      </c>
    </row>
    <row r="139" spans="1:14" x14ac:dyDescent="0.3">
      <c r="A139" s="15" t="s">
        <v>368</v>
      </c>
      <c r="B139" s="15" t="s">
        <v>3</v>
      </c>
      <c r="C139" s="15" t="s">
        <v>244</v>
      </c>
      <c r="D139" s="15" t="s">
        <v>109</v>
      </c>
      <c r="E139" s="15" t="s">
        <v>110</v>
      </c>
      <c r="F139" s="15">
        <v>305</v>
      </c>
      <c r="G139" s="15">
        <v>187</v>
      </c>
      <c r="H139" s="15">
        <v>243</v>
      </c>
      <c r="I139" s="15">
        <v>4575</v>
      </c>
      <c r="J139" s="15">
        <v>3704</v>
      </c>
      <c r="K139" s="15">
        <v>234</v>
      </c>
      <c r="L139" s="15" t="s">
        <v>345</v>
      </c>
      <c r="M139" s="15" t="s">
        <v>115</v>
      </c>
      <c r="N139" s="15">
        <f t="shared" si="2"/>
        <v>735</v>
      </c>
    </row>
    <row r="140" spans="1:14" x14ac:dyDescent="0.3">
      <c r="A140" s="15" t="s">
        <v>369</v>
      </c>
      <c r="B140" s="15" t="s">
        <v>4</v>
      </c>
      <c r="C140" s="15" t="s">
        <v>370</v>
      </c>
      <c r="D140" s="15" t="s">
        <v>85</v>
      </c>
      <c r="E140" s="15" t="s">
        <v>86</v>
      </c>
      <c r="F140" s="15">
        <v>2746</v>
      </c>
      <c r="G140" s="15">
        <v>156</v>
      </c>
      <c r="H140" s="15">
        <v>203</v>
      </c>
      <c r="I140" s="15">
        <v>32952</v>
      </c>
      <c r="J140" s="15">
        <v>32147</v>
      </c>
      <c r="K140" s="15">
        <v>147</v>
      </c>
      <c r="L140" s="15" t="s">
        <v>206</v>
      </c>
      <c r="M140" s="15" t="s">
        <v>88</v>
      </c>
      <c r="N140" s="15">
        <f t="shared" si="2"/>
        <v>3105</v>
      </c>
    </row>
    <row r="141" spans="1:14" x14ac:dyDescent="0.3">
      <c r="A141" s="15" t="s">
        <v>371</v>
      </c>
      <c r="B141" s="15" t="s">
        <v>1</v>
      </c>
      <c r="C141" s="15" t="s">
        <v>372</v>
      </c>
      <c r="D141" s="15" t="s">
        <v>109</v>
      </c>
      <c r="E141" s="15" t="s">
        <v>110</v>
      </c>
      <c r="F141" s="15">
        <v>2291</v>
      </c>
      <c r="G141" s="15">
        <v>78</v>
      </c>
      <c r="H141" s="15">
        <v>485</v>
      </c>
      <c r="I141" s="15">
        <v>18328</v>
      </c>
      <c r="J141" s="15">
        <v>18101</v>
      </c>
      <c r="K141" s="15">
        <v>10</v>
      </c>
      <c r="L141" s="15" t="s">
        <v>137</v>
      </c>
      <c r="M141" s="15" t="s">
        <v>82</v>
      </c>
      <c r="N141" s="15">
        <f t="shared" si="2"/>
        <v>2854</v>
      </c>
    </row>
    <row r="142" spans="1:14" x14ac:dyDescent="0.3">
      <c r="A142" s="15" t="s">
        <v>373</v>
      </c>
      <c r="B142" s="15" t="s">
        <v>3</v>
      </c>
      <c r="C142" s="15" t="s">
        <v>374</v>
      </c>
      <c r="D142" s="15" t="s">
        <v>109</v>
      </c>
      <c r="E142" s="15" t="s">
        <v>110</v>
      </c>
      <c r="F142" s="15">
        <v>3170</v>
      </c>
      <c r="G142" s="15">
        <v>857</v>
      </c>
      <c r="H142" s="15">
        <v>379</v>
      </c>
      <c r="I142" s="15">
        <v>19020</v>
      </c>
      <c r="J142" s="15">
        <v>18559</v>
      </c>
      <c r="K142" s="15">
        <v>240</v>
      </c>
      <c r="L142" s="15" t="s">
        <v>81</v>
      </c>
      <c r="M142" s="15" t="s">
        <v>99</v>
      </c>
      <c r="N142" s="15">
        <f t="shared" si="2"/>
        <v>4406</v>
      </c>
    </row>
    <row r="143" spans="1:14" x14ac:dyDescent="0.3">
      <c r="A143" s="15" t="s">
        <v>375</v>
      </c>
      <c r="B143" s="15" t="s">
        <v>4</v>
      </c>
      <c r="C143" s="15" t="s">
        <v>319</v>
      </c>
      <c r="D143" s="15" t="s">
        <v>94</v>
      </c>
      <c r="E143" s="15" t="s">
        <v>95</v>
      </c>
      <c r="F143" s="15">
        <v>2070</v>
      </c>
      <c r="G143" s="15">
        <v>275</v>
      </c>
      <c r="H143" s="15">
        <v>386</v>
      </c>
      <c r="I143" s="15">
        <v>39330</v>
      </c>
      <c r="J143" s="15">
        <v>38627</v>
      </c>
      <c r="K143" s="15">
        <v>114</v>
      </c>
      <c r="L143" s="15" t="s">
        <v>81</v>
      </c>
      <c r="M143" s="15" t="s">
        <v>115</v>
      </c>
      <c r="N143" s="15">
        <f t="shared" si="2"/>
        <v>2731</v>
      </c>
    </row>
    <row r="144" spans="1:14" x14ac:dyDescent="0.3">
      <c r="A144" s="15" t="s">
        <v>376</v>
      </c>
      <c r="B144" s="15" t="s">
        <v>4</v>
      </c>
      <c r="C144" s="15" t="s">
        <v>330</v>
      </c>
      <c r="D144" s="15" t="s">
        <v>102</v>
      </c>
      <c r="E144" s="15" t="s">
        <v>103</v>
      </c>
      <c r="F144" s="15">
        <v>80</v>
      </c>
      <c r="G144" s="15">
        <v>362</v>
      </c>
      <c r="H144" s="15">
        <v>80</v>
      </c>
      <c r="I144" s="15">
        <v>1040</v>
      </c>
      <c r="J144" s="15">
        <v>349</v>
      </c>
      <c r="K144" s="15">
        <v>117</v>
      </c>
      <c r="L144" s="15" t="s">
        <v>206</v>
      </c>
      <c r="M144" s="15" t="s">
        <v>88</v>
      </c>
      <c r="N144" s="15">
        <f t="shared" si="2"/>
        <v>522</v>
      </c>
    </row>
    <row r="145" spans="1:14" x14ac:dyDescent="0.3">
      <c r="A145" s="15" t="s">
        <v>377</v>
      </c>
      <c r="B145" s="15" t="s">
        <v>4</v>
      </c>
      <c r="C145" s="15" t="s">
        <v>257</v>
      </c>
      <c r="D145" s="15" t="s">
        <v>94</v>
      </c>
      <c r="E145" s="15" t="s">
        <v>95</v>
      </c>
      <c r="F145" s="15">
        <v>4929</v>
      </c>
      <c r="G145" s="15">
        <v>749</v>
      </c>
      <c r="H145" s="15">
        <v>452</v>
      </c>
      <c r="I145" s="15">
        <v>93651</v>
      </c>
      <c r="J145" s="15">
        <v>92810</v>
      </c>
      <c r="K145" s="15">
        <v>66</v>
      </c>
      <c r="L145" s="15" t="s">
        <v>274</v>
      </c>
      <c r="M145" s="15" t="s">
        <v>82</v>
      </c>
      <c r="N145" s="15">
        <f t="shared" si="2"/>
        <v>6130</v>
      </c>
    </row>
    <row r="146" spans="1:14" x14ac:dyDescent="0.3">
      <c r="A146" s="15" t="s">
        <v>378</v>
      </c>
      <c r="B146" s="15" t="s">
        <v>2</v>
      </c>
      <c r="C146" s="15" t="s">
        <v>93</v>
      </c>
      <c r="D146" s="15" t="s">
        <v>102</v>
      </c>
      <c r="E146" s="15" t="s">
        <v>103</v>
      </c>
      <c r="F146" s="15">
        <v>1878</v>
      </c>
      <c r="G146" s="15">
        <v>62</v>
      </c>
      <c r="H146" s="15">
        <v>179</v>
      </c>
      <c r="I146" s="15">
        <v>37560</v>
      </c>
      <c r="J146" s="15">
        <v>36874</v>
      </c>
      <c r="K146" s="15">
        <v>142</v>
      </c>
      <c r="L146" s="15" t="s">
        <v>238</v>
      </c>
      <c r="M146" s="15" t="s">
        <v>82</v>
      </c>
      <c r="N146" s="15">
        <f t="shared" si="2"/>
        <v>2119</v>
      </c>
    </row>
    <row r="147" spans="1:14" x14ac:dyDescent="0.3">
      <c r="A147" s="15" t="s">
        <v>379</v>
      </c>
      <c r="B147" s="15" t="s">
        <v>4</v>
      </c>
      <c r="C147" s="15" t="s">
        <v>380</v>
      </c>
      <c r="D147" s="15" t="s">
        <v>79</v>
      </c>
      <c r="E147" s="15" t="s">
        <v>80</v>
      </c>
      <c r="F147" s="15">
        <v>3065</v>
      </c>
      <c r="G147" s="15">
        <v>772</v>
      </c>
      <c r="H147" s="15">
        <v>142</v>
      </c>
      <c r="I147" s="15">
        <v>18390</v>
      </c>
      <c r="J147" s="15">
        <v>17875</v>
      </c>
      <c r="K147" s="15">
        <v>200</v>
      </c>
      <c r="L147" s="15" t="s">
        <v>118</v>
      </c>
      <c r="M147" s="15" t="s">
        <v>82</v>
      </c>
      <c r="N147" s="15">
        <f t="shared" si="2"/>
        <v>3979</v>
      </c>
    </row>
    <row r="148" spans="1:14" x14ac:dyDescent="0.3">
      <c r="A148" s="15" t="s">
        <v>381</v>
      </c>
      <c r="B148" s="15" t="s">
        <v>2</v>
      </c>
      <c r="C148" s="15" t="s">
        <v>224</v>
      </c>
      <c r="D148" s="15" t="s">
        <v>79</v>
      </c>
      <c r="E148" s="15" t="s">
        <v>80</v>
      </c>
      <c r="F148" s="15">
        <v>3256</v>
      </c>
      <c r="G148" s="15">
        <v>459</v>
      </c>
      <c r="H148" s="15">
        <v>266</v>
      </c>
      <c r="I148" s="15">
        <v>26048</v>
      </c>
      <c r="J148" s="15">
        <v>25529</v>
      </c>
      <c r="K148" s="15">
        <v>143</v>
      </c>
      <c r="L148" s="15" t="s">
        <v>142</v>
      </c>
      <c r="M148" s="15" t="s">
        <v>99</v>
      </c>
      <c r="N148" s="15">
        <f t="shared" si="2"/>
        <v>3981</v>
      </c>
    </row>
    <row r="149" spans="1:14" x14ac:dyDescent="0.3">
      <c r="A149" s="15" t="s">
        <v>382</v>
      </c>
      <c r="B149" s="15" t="s">
        <v>2</v>
      </c>
      <c r="C149" s="15" t="s">
        <v>226</v>
      </c>
      <c r="D149" s="15" t="s">
        <v>129</v>
      </c>
      <c r="E149" s="15" t="s">
        <v>130</v>
      </c>
      <c r="F149" s="15">
        <v>4133</v>
      </c>
      <c r="G149" s="15">
        <v>466</v>
      </c>
      <c r="H149" s="15">
        <v>327</v>
      </c>
      <c r="I149" s="15">
        <v>24798</v>
      </c>
      <c r="J149" s="15">
        <v>24620</v>
      </c>
      <c r="K149" s="15">
        <v>176</v>
      </c>
      <c r="L149" s="15" t="s">
        <v>118</v>
      </c>
      <c r="M149" s="15" t="s">
        <v>88</v>
      </c>
      <c r="N149" s="15">
        <f t="shared" si="2"/>
        <v>4926</v>
      </c>
    </row>
    <row r="150" spans="1:14" x14ac:dyDescent="0.3">
      <c r="A150" s="15" t="s">
        <v>383</v>
      </c>
      <c r="B150" s="15" t="s">
        <v>3</v>
      </c>
      <c r="C150" s="15" t="s">
        <v>384</v>
      </c>
      <c r="D150" s="15" t="s">
        <v>129</v>
      </c>
      <c r="E150" s="15" t="s">
        <v>130</v>
      </c>
      <c r="F150" s="15">
        <v>1702</v>
      </c>
      <c r="G150" s="15">
        <v>750</v>
      </c>
      <c r="H150" s="15">
        <v>179</v>
      </c>
      <c r="I150" s="15">
        <v>34040</v>
      </c>
      <c r="J150" s="15">
        <v>33174</v>
      </c>
      <c r="K150" s="15">
        <v>76</v>
      </c>
      <c r="L150" s="15" t="s">
        <v>104</v>
      </c>
      <c r="M150" s="15" t="s">
        <v>99</v>
      </c>
      <c r="N150" s="15">
        <f t="shared" si="2"/>
        <v>2631</v>
      </c>
    </row>
    <row r="151" spans="1:14" x14ac:dyDescent="0.3">
      <c r="A151" s="15" t="s">
        <v>385</v>
      </c>
      <c r="B151" s="15" t="s">
        <v>4</v>
      </c>
      <c r="C151" s="15" t="s">
        <v>386</v>
      </c>
      <c r="D151" s="15" t="s">
        <v>102</v>
      </c>
      <c r="E151" s="15" t="s">
        <v>103</v>
      </c>
      <c r="F151" s="15">
        <v>4295</v>
      </c>
      <c r="G151" s="15">
        <v>853</v>
      </c>
      <c r="H151" s="15">
        <v>325</v>
      </c>
      <c r="I151" s="15">
        <v>85900</v>
      </c>
      <c r="J151" s="15">
        <v>85788</v>
      </c>
      <c r="K151" s="15">
        <v>290</v>
      </c>
      <c r="L151" s="15" t="s">
        <v>269</v>
      </c>
      <c r="M151" s="15" t="s">
        <v>88</v>
      </c>
      <c r="N151" s="15">
        <f t="shared" si="2"/>
        <v>5473</v>
      </c>
    </row>
    <row r="152" spans="1:14" x14ac:dyDescent="0.3">
      <c r="A152" s="15" t="s">
        <v>387</v>
      </c>
      <c r="B152" s="15" t="s">
        <v>2</v>
      </c>
      <c r="C152" s="15" t="s">
        <v>242</v>
      </c>
      <c r="D152" s="15" t="s">
        <v>109</v>
      </c>
      <c r="E152" s="15" t="s">
        <v>110</v>
      </c>
      <c r="F152" s="15">
        <v>3559</v>
      </c>
      <c r="G152" s="15">
        <v>59</v>
      </c>
      <c r="H152" s="15">
        <v>289</v>
      </c>
      <c r="I152" s="15">
        <v>35590</v>
      </c>
      <c r="J152" s="15">
        <v>35105</v>
      </c>
      <c r="K152" s="15">
        <v>122</v>
      </c>
      <c r="L152" s="15" t="s">
        <v>274</v>
      </c>
      <c r="M152" s="15" t="s">
        <v>99</v>
      </c>
      <c r="N152" s="15">
        <f t="shared" si="2"/>
        <v>3907</v>
      </c>
    </row>
    <row r="153" spans="1:14" x14ac:dyDescent="0.3">
      <c r="A153" s="15" t="s">
        <v>388</v>
      </c>
      <c r="B153" s="15" t="s">
        <v>1</v>
      </c>
      <c r="C153" s="15" t="s">
        <v>389</v>
      </c>
      <c r="D153" s="15" t="s">
        <v>109</v>
      </c>
      <c r="E153" s="15" t="s">
        <v>110</v>
      </c>
      <c r="F153" s="15">
        <v>4804</v>
      </c>
      <c r="G153" s="15">
        <v>550</v>
      </c>
      <c r="H153" s="15">
        <v>270</v>
      </c>
      <c r="I153" s="15">
        <v>28824</v>
      </c>
      <c r="J153" s="15">
        <v>28370</v>
      </c>
      <c r="K153" s="15">
        <v>47</v>
      </c>
      <c r="L153" s="15" t="s">
        <v>142</v>
      </c>
      <c r="M153" s="15" t="s">
        <v>115</v>
      </c>
      <c r="N153" s="15">
        <f t="shared" si="2"/>
        <v>5624</v>
      </c>
    </row>
    <row r="154" spans="1:14" x14ac:dyDescent="0.3">
      <c r="A154" s="15" t="s">
        <v>390</v>
      </c>
      <c r="B154" s="15" t="s">
        <v>3</v>
      </c>
      <c r="C154" s="15" t="s">
        <v>391</v>
      </c>
      <c r="D154" s="15" t="s">
        <v>129</v>
      </c>
      <c r="E154" s="15" t="s">
        <v>130</v>
      </c>
      <c r="F154" s="15">
        <v>754</v>
      </c>
      <c r="G154" s="15">
        <v>197</v>
      </c>
      <c r="H154" s="15">
        <v>257</v>
      </c>
      <c r="I154" s="15">
        <v>6786</v>
      </c>
      <c r="J154" s="15">
        <v>6221</v>
      </c>
      <c r="K154" s="15">
        <v>212</v>
      </c>
      <c r="L154" s="15" t="s">
        <v>238</v>
      </c>
      <c r="M154" s="15" t="s">
        <v>99</v>
      </c>
      <c r="N154" s="15">
        <f t="shared" si="2"/>
        <v>1208</v>
      </c>
    </row>
    <row r="155" spans="1:14" x14ac:dyDescent="0.3">
      <c r="A155" s="15" t="s">
        <v>392</v>
      </c>
      <c r="B155" s="15" t="s">
        <v>2</v>
      </c>
      <c r="C155" s="15" t="s">
        <v>265</v>
      </c>
      <c r="D155" s="15" t="s">
        <v>102</v>
      </c>
      <c r="E155" s="15" t="s">
        <v>103</v>
      </c>
      <c r="F155" s="15">
        <v>985</v>
      </c>
      <c r="G155" s="15">
        <v>932</v>
      </c>
      <c r="H155" s="15">
        <v>287</v>
      </c>
      <c r="I155" s="15">
        <v>6895</v>
      </c>
      <c r="J155" s="15">
        <v>6757</v>
      </c>
      <c r="K155" s="15">
        <v>64</v>
      </c>
      <c r="L155" s="15" t="s">
        <v>126</v>
      </c>
      <c r="M155" s="15" t="s">
        <v>88</v>
      </c>
      <c r="N155" s="15">
        <f t="shared" si="2"/>
        <v>2204</v>
      </c>
    </row>
    <row r="156" spans="1:14" x14ac:dyDescent="0.3">
      <c r="A156" s="15" t="s">
        <v>393</v>
      </c>
      <c r="B156" s="15" t="s">
        <v>4</v>
      </c>
      <c r="C156" s="15" t="s">
        <v>394</v>
      </c>
      <c r="D156" s="15" t="s">
        <v>109</v>
      </c>
      <c r="E156" s="15" t="s">
        <v>110</v>
      </c>
      <c r="F156" s="15">
        <v>2283</v>
      </c>
      <c r="G156" s="15">
        <v>210</v>
      </c>
      <c r="H156" s="15">
        <v>130</v>
      </c>
      <c r="I156" s="15">
        <v>22830</v>
      </c>
      <c r="J156" s="15">
        <v>22617</v>
      </c>
      <c r="K156" s="15">
        <v>143</v>
      </c>
      <c r="L156" s="15" t="s">
        <v>206</v>
      </c>
      <c r="M156" s="15" t="s">
        <v>99</v>
      </c>
      <c r="N156" s="15">
        <f t="shared" si="2"/>
        <v>2623</v>
      </c>
    </row>
    <row r="157" spans="1:14" x14ac:dyDescent="0.3">
      <c r="A157" s="15" t="s">
        <v>395</v>
      </c>
      <c r="B157" s="15" t="s">
        <v>1</v>
      </c>
      <c r="C157" s="15" t="s">
        <v>396</v>
      </c>
      <c r="D157" s="15" t="s">
        <v>102</v>
      </c>
      <c r="E157" s="15" t="s">
        <v>103</v>
      </c>
      <c r="F157" s="15">
        <v>3352</v>
      </c>
      <c r="G157" s="15">
        <v>941</v>
      </c>
      <c r="H157" s="15">
        <v>482</v>
      </c>
      <c r="I157" s="15">
        <v>43576</v>
      </c>
      <c r="J157" s="15">
        <v>43338</v>
      </c>
      <c r="K157" s="15">
        <v>240</v>
      </c>
      <c r="L157" s="15" t="s">
        <v>104</v>
      </c>
      <c r="M157" s="15" t="s">
        <v>99</v>
      </c>
      <c r="N157" s="15">
        <f t="shared" si="2"/>
        <v>4775</v>
      </c>
    </row>
    <row r="158" spans="1:14" x14ac:dyDescent="0.3">
      <c r="A158" s="15" t="s">
        <v>397</v>
      </c>
      <c r="B158" s="15" t="s">
        <v>4</v>
      </c>
      <c r="C158" s="15" t="s">
        <v>398</v>
      </c>
      <c r="D158" s="15" t="s">
        <v>94</v>
      </c>
      <c r="E158" s="15" t="s">
        <v>95</v>
      </c>
      <c r="F158" s="15">
        <v>4775</v>
      </c>
      <c r="G158" s="15">
        <v>173</v>
      </c>
      <c r="H158" s="15">
        <v>206</v>
      </c>
      <c r="I158" s="15">
        <v>47750</v>
      </c>
      <c r="J158" s="15">
        <v>47544</v>
      </c>
      <c r="K158" s="15">
        <v>187</v>
      </c>
      <c r="L158" s="15" t="s">
        <v>147</v>
      </c>
      <c r="M158" s="15" t="s">
        <v>115</v>
      </c>
      <c r="N158" s="15">
        <f t="shared" si="2"/>
        <v>5154</v>
      </c>
    </row>
    <row r="159" spans="1:14" x14ac:dyDescent="0.3">
      <c r="A159" s="15" t="s">
        <v>399</v>
      </c>
      <c r="B159" s="15" t="s">
        <v>2</v>
      </c>
      <c r="C159" s="15" t="s">
        <v>400</v>
      </c>
      <c r="D159" s="15" t="s">
        <v>94</v>
      </c>
      <c r="E159" s="15" t="s">
        <v>95</v>
      </c>
      <c r="F159" s="15">
        <v>1762</v>
      </c>
      <c r="G159" s="15">
        <v>405</v>
      </c>
      <c r="H159" s="15">
        <v>423</v>
      </c>
      <c r="I159" s="15">
        <v>22906</v>
      </c>
      <c r="J159" s="15">
        <v>21925</v>
      </c>
      <c r="K159" s="15">
        <v>25</v>
      </c>
      <c r="L159" s="15" t="s">
        <v>137</v>
      </c>
      <c r="M159" s="15" t="s">
        <v>88</v>
      </c>
      <c r="N159" s="15">
        <f t="shared" si="2"/>
        <v>2590</v>
      </c>
    </row>
    <row r="160" spans="1:14" x14ac:dyDescent="0.3">
      <c r="A160" s="15" t="s">
        <v>401</v>
      </c>
      <c r="B160" s="15" t="s">
        <v>1</v>
      </c>
      <c r="C160" s="15" t="s">
        <v>186</v>
      </c>
      <c r="D160" s="15" t="s">
        <v>94</v>
      </c>
      <c r="E160" s="15" t="s">
        <v>95</v>
      </c>
      <c r="F160" s="15">
        <v>2120</v>
      </c>
      <c r="G160" s="15">
        <v>158</v>
      </c>
      <c r="H160" s="15">
        <v>488</v>
      </c>
      <c r="I160" s="15">
        <v>12720</v>
      </c>
      <c r="J160" s="15">
        <v>12085</v>
      </c>
      <c r="K160" s="15">
        <v>17</v>
      </c>
      <c r="L160" s="15" t="s">
        <v>147</v>
      </c>
      <c r="M160" s="15" t="s">
        <v>88</v>
      </c>
      <c r="N160" s="15">
        <f t="shared" si="2"/>
        <v>2766</v>
      </c>
    </row>
    <row r="161" spans="1:14" x14ac:dyDescent="0.3">
      <c r="A161" s="15" t="s">
        <v>402</v>
      </c>
      <c r="B161" s="15" t="s">
        <v>3</v>
      </c>
      <c r="C161" s="15" t="s">
        <v>403</v>
      </c>
      <c r="D161" s="15" t="s">
        <v>129</v>
      </c>
      <c r="E161" s="15" t="s">
        <v>130</v>
      </c>
      <c r="F161" s="15">
        <v>1082</v>
      </c>
      <c r="G161" s="15">
        <v>209</v>
      </c>
      <c r="H161" s="15">
        <v>484</v>
      </c>
      <c r="I161" s="15">
        <v>19476</v>
      </c>
      <c r="J161" s="15">
        <v>18654</v>
      </c>
      <c r="K161" s="15">
        <v>20</v>
      </c>
      <c r="L161" s="15" t="s">
        <v>118</v>
      </c>
      <c r="M161" s="15" t="s">
        <v>115</v>
      </c>
      <c r="N161" s="15">
        <f t="shared" si="2"/>
        <v>1775</v>
      </c>
    </row>
    <row r="162" spans="1:14" x14ac:dyDescent="0.3">
      <c r="A162" s="15" t="s">
        <v>404</v>
      </c>
      <c r="B162" s="15" t="s">
        <v>3</v>
      </c>
      <c r="C162" s="15" t="s">
        <v>405</v>
      </c>
      <c r="D162" s="15" t="s">
        <v>85</v>
      </c>
      <c r="E162" s="15" t="s">
        <v>86</v>
      </c>
      <c r="F162" s="15">
        <v>4671</v>
      </c>
      <c r="G162" s="15">
        <v>876</v>
      </c>
      <c r="H162" s="15">
        <v>366</v>
      </c>
      <c r="I162" s="15">
        <v>51381</v>
      </c>
      <c r="J162" s="15">
        <v>50565</v>
      </c>
      <c r="K162" s="15">
        <v>245</v>
      </c>
      <c r="L162" s="15" t="s">
        <v>81</v>
      </c>
      <c r="M162" s="15" t="s">
        <v>88</v>
      </c>
      <c r="N162" s="15">
        <f t="shared" si="2"/>
        <v>5913</v>
      </c>
    </row>
    <row r="163" spans="1:14" x14ac:dyDescent="0.3">
      <c r="A163" s="15" t="s">
        <v>406</v>
      </c>
      <c r="B163" s="15" t="s">
        <v>1</v>
      </c>
      <c r="C163" s="15" t="s">
        <v>407</v>
      </c>
      <c r="D163" s="15" t="s">
        <v>94</v>
      </c>
      <c r="E163" s="15" t="s">
        <v>95</v>
      </c>
      <c r="F163" s="15">
        <v>3430</v>
      </c>
      <c r="G163" s="15">
        <v>566</v>
      </c>
      <c r="H163" s="15">
        <v>164</v>
      </c>
      <c r="I163" s="15">
        <v>48020</v>
      </c>
      <c r="J163" s="15">
        <v>47305</v>
      </c>
      <c r="K163" s="15">
        <v>120</v>
      </c>
      <c r="L163" s="15" t="s">
        <v>104</v>
      </c>
      <c r="M163" s="15" t="s">
        <v>88</v>
      </c>
      <c r="N163" s="15">
        <f t="shared" si="2"/>
        <v>4160</v>
      </c>
    </row>
    <row r="164" spans="1:14" x14ac:dyDescent="0.3">
      <c r="A164" s="15" t="s">
        <v>408</v>
      </c>
      <c r="B164" s="15" t="s">
        <v>2</v>
      </c>
      <c r="C164" s="15" t="s">
        <v>409</v>
      </c>
      <c r="D164" s="15" t="s">
        <v>109</v>
      </c>
      <c r="E164" s="15" t="s">
        <v>110</v>
      </c>
      <c r="F164" s="15">
        <v>4501</v>
      </c>
      <c r="G164" s="15">
        <v>375</v>
      </c>
      <c r="H164" s="15">
        <v>323</v>
      </c>
      <c r="I164" s="15">
        <v>22505</v>
      </c>
      <c r="J164" s="15">
        <v>21836</v>
      </c>
      <c r="K164" s="15">
        <v>132</v>
      </c>
      <c r="L164" s="15" t="s">
        <v>87</v>
      </c>
      <c r="M164" s="15" t="s">
        <v>115</v>
      </c>
      <c r="N164" s="15">
        <f t="shared" si="2"/>
        <v>5199</v>
      </c>
    </row>
    <row r="165" spans="1:14" x14ac:dyDescent="0.3">
      <c r="A165" s="15" t="s">
        <v>410</v>
      </c>
      <c r="B165" s="15" t="s">
        <v>4</v>
      </c>
      <c r="C165" s="15" t="s">
        <v>149</v>
      </c>
      <c r="D165" s="15" t="s">
        <v>85</v>
      </c>
      <c r="E165" s="15" t="s">
        <v>86</v>
      </c>
      <c r="F165" s="15">
        <v>4934</v>
      </c>
      <c r="G165" s="15">
        <v>971</v>
      </c>
      <c r="H165" s="15">
        <v>156</v>
      </c>
      <c r="I165" s="15">
        <v>39472</v>
      </c>
      <c r="J165" s="15">
        <v>39025</v>
      </c>
      <c r="K165" s="15">
        <v>169</v>
      </c>
      <c r="L165" s="15" t="s">
        <v>324</v>
      </c>
      <c r="M165" s="15" t="s">
        <v>88</v>
      </c>
      <c r="N165" s="15">
        <f t="shared" si="2"/>
        <v>6061</v>
      </c>
    </row>
    <row r="166" spans="1:14" x14ac:dyDescent="0.3">
      <c r="A166" s="15" t="s">
        <v>411</v>
      </c>
      <c r="B166" s="15" t="s">
        <v>3</v>
      </c>
      <c r="C166" s="15" t="s">
        <v>292</v>
      </c>
      <c r="D166" s="15" t="s">
        <v>85</v>
      </c>
      <c r="E166" s="15" t="s">
        <v>86</v>
      </c>
      <c r="F166" s="15">
        <v>3239</v>
      </c>
      <c r="G166" s="15">
        <v>43</v>
      </c>
      <c r="H166" s="15">
        <v>211</v>
      </c>
      <c r="I166" s="15">
        <v>22673</v>
      </c>
      <c r="J166" s="15">
        <v>22171</v>
      </c>
      <c r="K166" s="15">
        <v>230</v>
      </c>
      <c r="L166" s="15" t="s">
        <v>274</v>
      </c>
      <c r="M166" s="15" t="s">
        <v>88</v>
      </c>
      <c r="N166" s="15">
        <f t="shared" si="2"/>
        <v>3493</v>
      </c>
    </row>
    <row r="167" spans="1:14" x14ac:dyDescent="0.3">
      <c r="A167" s="15" t="s">
        <v>412</v>
      </c>
      <c r="B167" s="15" t="s">
        <v>3</v>
      </c>
      <c r="C167" s="15" t="s">
        <v>125</v>
      </c>
      <c r="D167" s="15" t="s">
        <v>79</v>
      </c>
      <c r="E167" s="15" t="s">
        <v>80</v>
      </c>
      <c r="F167" s="15">
        <v>1076</v>
      </c>
      <c r="G167" s="15">
        <v>313</v>
      </c>
      <c r="H167" s="15">
        <v>306</v>
      </c>
      <c r="I167" s="15">
        <v>11836</v>
      </c>
      <c r="J167" s="15">
        <v>11596</v>
      </c>
      <c r="K167" s="15">
        <v>104</v>
      </c>
      <c r="L167" s="15" t="s">
        <v>137</v>
      </c>
      <c r="M167" s="15" t="s">
        <v>88</v>
      </c>
      <c r="N167" s="15">
        <f t="shared" si="2"/>
        <v>1695</v>
      </c>
    </row>
    <row r="168" spans="1:14" x14ac:dyDescent="0.3">
      <c r="A168" s="15" t="s">
        <v>413</v>
      </c>
      <c r="B168" s="15" t="s">
        <v>2</v>
      </c>
      <c r="C168" s="15" t="s">
        <v>364</v>
      </c>
      <c r="D168" s="15" t="s">
        <v>85</v>
      </c>
      <c r="E168" s="15" t="s">
        <v>86</v>
      </c>
      <c r="F168" s="15">
        <v>4771</v>
      </c>
      <c r="G168" s="15">
        <v>818</v>
      </c>
      <c r="H168" s="15">
        <v>56</v>
      </c>
      <c r="I168" s="15">
        <v>57252</v>
      </c>
      <c r="J168" s="15">
        <v>56378</v>
      </c>
      <c r="K168" s="15">
        <v>150</v>
      </c>
      <c r="L168" s="15" t="s">
        <v>81</v>
      </c>
      <c r="M168" s="15" t="s">
        <v>88</v>
      </c>
      <c r="N168" s="15">
        <f t="shared" si="2"/>
        <v>5645</v>
      </c>
    </row>
    <row r="169" spans="1:14" x14ac:dyDescent="0.3">
      <c r="A169" s="15" t="s">
        <v>414</v>
      </c>
      <c r="B169" s="15" t="s">
        <v>1</v>
      </c>
      <c r="C169" s="15" t="s">
        <v>415</v>
      </c>
      <c r="D169" s="15" t="s">
        <v>85</v>
      </c>
      <c r="E169" s="15" t="s">
        <v>86</v>
      </c>
      <c r="F169" s="15">
        <v>2418</v>
      </c>
      <c r="G169" s="15">
        <v>754</v>
      </c>
      <c r="H169" s="15">
        <v>54</v>
      </c>
      <c r="I169" s="15">
        <v>43524</v>
      </c>
      <c r="J169" s="15">
        <v>42743</v>
      </c>
      <c r="K169" s="15">
        <v>182</v>
      </c>
      <c r="L169" s="15" t="s">
        <v>345</v>
      </c>
      <c r="M169" s="15" t="s">
        <v>115</v>
      </c>
      <c r="N169" s="15">
        <f t="shared" si="2"/>
        <v>3226</v>
      </c>
    </row>
    <row r="170" spans="1:14" x14ac:dyDescent="0.3">
      <c r="A170" s="15" t="s">
        <v>416</v>
      </c>
      <c r="B170" s="15" t="s">
        <v>4</v>
      </c>
      <c r="C170" s="15" t="s">
        <v>417</v>
      </c>
      <c r="D170" s="15" t="s">
        <v>129</v>
      </c>
      <c r="E170" s="15" t="s">
        <v>130</v>
      </c>
      <c r="F170" s="15">
        <v>3809</v>
      </c>
      <c r="G170" s="15">
        <v>273</v>
      </c>
      <c r="H170" s="15">
        <v>200</v>
      </c>
      <c r="I170" s="15">
        <v>34281</v>
      </c>
      <c r="J170" s="15">
        <v>33534</v>
      </c>
      <c r="K170" s="15">
        <v>83</v>
      </c>
      <c r="L170" s="15" t="s">
        <v>104</v>
      </c>
      <c r="M170" s="15" t="s">
        <v>99</v>
      </c>
      <c r="N170" s="15">
        <f t="shared" si="2"/>
        <v>4282</v>
      </c>
    </row>
    <row r="171" spans="1:14" x14ac:dyDescent="0.3">
      <c r="A171" s="15" t="s">
        <v>418</v>
      </c>
      <c r="B171" s="15" t="s">
        <v>3</v>
      </c>
      <c r="C171" s="15" t="s">
        <v>419</v>
      </c>
      <c r="D171" s="15" t="s">
        <v>85</v>
      </c>
      <c r="E171" s="15" t="s">
        <v>86</v>
      </c>
      <c r="F171" s="15">
        <v>3577</v>
      </c>
      <c r="G171" s="15">
        <v>596</v>
      </c>
      <c r="H171" s="15">
        <v>493</v>
      </c>
      <c r="I171" s="15">
        <v>67963</v>
      </c>
      <c r="J171" s="15">
        <v>67839</v>
      </c>
      <c r="K171" s="15">
        <v>53</v>
      </c>
      <c r="L171" s="15" t="s">
        <v>147</v>
      </c>
      <c r="M171" s="15" t="s">
        <v>115</v>
      </c>
      <c r="N171" s="15">
        <f t="shared" si="2"/>
        <v>4666</v>
      </c>
    </row>
    <row r="172" spans="1:14" x14ac:dyDescent="0.3">
      <c r="A172" s="15" t="s">
        <v>420</v>
      </c>
      <c r="B172" s="15" t="s">
        <v>4</v>
      </c>
      <c r="C172" s="15" t="s">
        <v>421</v>
      </c>
      <c r="D172" s="15" t="s">
        <v>129</v>
      </c>
      <c r="E172" s="15" t="s">
        <v>130</v>
      </c>
      <c r="F172" s="15">
        <v>1018</v>
      </c>
      <c r="G172" s="15">
        <v>447</v>
      </c>
      <c r="H172" s="15">
        <v>332</v>
      </c>
      <c r="I172" s="15">
        <v>18324</v>
      </c>
      <c r="J172" s="15">
        <v>18164</v>
      </c>
      <c r="K172" s="15">
        <v>38</v>
      </c>
      <c r="L172" s="15" t="s">
        <v>126</v>
      </c>
      <c r="M172" s="15" t="s">
        <v>115</v>
      </c>
      <c r="N172" s="15">
        <f t="shared" si="2"/>
        <v>1797</v>
      </c>
    </row>
    <row r="173" spans="1:14" x14ac:dyDescent="0.3">
      <c r="A173" s="15" t="s">
        <v>422</v>
      </c>
      <c r="B173" s="15" t="s">
        <v>1</v>
      </c>
      <c r="C173" s="15" t="s">
        <v>423</v>
      </c>
      <c r="D173" s="15" t="s">
        <v>102</v>
      </c>
      <c r="E173" s="15" t="s">
        <v>103</v>
      </c>
      <c r="F173" s="15">
        <v>3073</v>
      </c>
      <c r="G173" s="15">
        <v>553</v>
      </c>
      <c r="H173" s="15">
        <v>174</v>
      </c>
      <c r="I173" s="15">
        <v>52241</v>
      </c>
      <c r="J173" s="15">
        <v>51605</v>
      </c>
      <c r="K173" s="15">
        <v>246</v>
      </c>
      <c r="L173" s="15" t="s">
        <v>206</v>
      </c>
      <c r="M173" s="15" t="s">
        <v>115</v>
      </c>
      <c r="N173" s="15">
        <f t="shared" si="2"/>
        <v>3800</v>
      </c>
    </row>
    <row r="174" spans="1:14" x14ac:dyDescent="0.3">
      <c r="A174" s="15" t="s">
        <v>424</v>
      </c>
      <c r="B174" s="15" t="s">
        <v>3</v>
      </c>
      <c r="C174" s="15" t="s">
        <v>425</v>
      </c>
      <c r="D174" s="15" t="s">
        <v>129</v>
      </c>
      <c r="E174" s="15" t="s">
        <v>130</v>
      </c>
      <c r="F174" s="15">
        <v>1330</v>
      </c>
      <c r="G174" s="15">
        <v>925</v>
      </c>
      <c r="H174" s="15">
        <v>35</v>
      </c>
      <c r="I174" s="15">
        <v>15960</v>
      </c>
      <c r="J174" s="15">
        <v>15379</v>
      </c>
      <c r="K174" s="15">
        <v>229</v>
      </c>
      <c r="L174" s="15" t="s">
        <v>238</v>
      </c>
      <c r="M174" s="15" t="s">
        <v>115</v>
      </c>
      <c r="N174" s="15">
        <f t="shared" si="2"/>
        <v>2290</v>
      </c>
    </row>
    <row r="175" spans="1:14" x14ac:dyDescent="0.3">
      <c r="A175" s="15" t="s">
        <v>426</v>
      </c>
      <c r="B175" s="15" t="s">
        <v>1</v>
      </c>
      <c r="C175" s="15" t="s">
        <v>228</v>
      </c>
      <c r="D175" s="15" t="s">
        <v>85</v>
      </c>
      <c r="E175" s="15" t="s">
        <v>86</v>
      </c>
      <c r="F175" s="15">
        <v>3828</v>
      </c>
      <c r="G175" s="15">
        <v>148</v>
      </c>
      <c r="H175" s="15">
        <v>253</v>
      </c>
      <c r="I175" s="15">
        <v>30624</v>
      </c>
      <c r="J175" s="15">
        <v>30229</v>
      </c>
      <c r="K175" s="15">
        <v>235</v>
      </c>
      <c r="L175" s="15" t="s">
        <v>142</v>
      </c>
      <c r="M175" s="15" t="s">
        <v>115</v>
      </c>
      <c r="N175" s="15">
        <f t="shared" si="2"/>
        <v>4229</v>
      </c>
    </row>
    <row r="176" spans="1:14" x14ac:dyDescent="0.3">
      <c r="A176" s="15" t="s">
        <v>427</v>
      </c>
      <c r="B176" s="15" t="s">
        <v>2</v>
      </c>
      <c r="C176" s="15" t="s">
        <v>428</v>
      </c>
      <c r="D176" s="15" t="s">
        <v>79</v>
      </c>
      <c r="E176" s="15" t="s">
        <v>80</v>
      </c>
      <c r="F176" s="15">
        <v>142</v>
      </c>
      <c r="G176" s="15">
        <v>784</v>
      </c>
      <c r="H176" s="15">
        <v>183</v>
      </c>
      <c r="I176" s="15">
        <v>1704</v>
      </c>
      <c r="J176" s="15">
        <v>995</v>
      </c>
      <c r="K176" s="15">
        <v>154</v>
      </c>
      <c r="L176" s="15" t="s">
        <v>81</v>
      </c>
      <c r="M176" s="15" t="s">
        <v>82</v>
      </c>
      <c r="N176" s="15">
        <f t="shared" si="2"/>
        <v>1109</v>
      </c>
    </row>
    <row r="177" spans="1:14" x14ac:dyDescent="0.3">
      <c r="A177" s="15" t="s">
        <v>429</v>
      </c>
      <c r="B177" s="15" t="s">
        <v>1</v>
      </c>
      <c r="C177" s="15" t="s">
        <v>430</v>
      </c>
      <c r="D177" s="15" t="s">
        <v>129</v>
      </c>
      <c r="E177" s="15" t="s">
        <v>130</v>
      </c>
      <c r="F177" s="15">
        <v>3798</v>
      </c>
      <c r="G177" s="15">
        <v>31</v>
      </c>
      <c r="H177" s="15">
        <v>279</v>
      </c>
      <c r="I177" s="15">
        <v>75960</v>
      </c>
      <c r="J177" s="15">
        <v>75813</v>
      </c>
      <c r="K177" s="15">
        <v>266</v>
      </c>
      <c r="L177" s="15" t="s">
        <v>87</v>
      </c>
      <c r="M177" s="15" t="s">
        <v>88</v>
      </c>
      <c r="N177" s="15">
        <f t="shared" si="2"/>
        <v>4108</v>
      </c>
    </row>
    <row r="178" spans="1:14" x14ac:dyDescent="0.3">
      <c r="A178" s="15" t="s">
        <v>431</v>
      </c>
      <c r="B178" s="15" t="s">
        <v>2</v>
      </c>
      <c r="C178" s="15" t="s">
        <v>432</v>
      </c>
      <c r="D178" s="15" t="s">
        <v>102</v>
      </c>
      <c r="E178" s="15" t="s">
        <v>103</v>
      </c>
      <c r="F178" s="15">
        <v>3099</v>
      </c>
      <c r="G178" s="15">
        <v>694</v>
      </c>
      <c r="H178" s="15">
        <v>171</v>
      </c>
      <c r="I178" s="15">
        <v>43386</v>
      </c>
      <c r="J178" s="15">
        <v>42921</v>
      </c>
      <c r="K178" s="15">
        <v>52</v>
      </c>
      <c r="L178" s="15" t="s">
        <v>137</v>
      </c>
      <c r="M178" s="15" t="s">
        <v>115</v>
      </c>
      <c r="N178" s="15">
        <f t="shared" si="2"/>
        <v>3964</v>
      </c>
    </row>
    <row r="179" spans="1:14" x14ac:dyDescent="0.3">
      <c r="A179" s="15" t="s">
        <v>433</v>
      </c>
      <c r="B179" s="15" t="s">
        <v>2</v>
      </c>
      <c r="C179" s="15" t="s">
        <v>261</v>
      </c>
      <c r="D179" s="15" t="s">
        <v>129</v>
      </c>
      <c r="E179" s="15" t="s">
        <v>130</v>
      </c>
      <c r="F179" s="15">
        <v>129</v>
      </c>
      <c r="G179" s="15">
        <v>643</v>
      </c>
      <c r="H179" s="15">
        <v>136</v>
      </c>
      <c r="I179" s="15">
        <v>1290</v>
      </c>
      <c r="J179" s="15">
        <v>839</v>
      </c>
      <c r="K179" s="15">
        <v>238</v>
      </c>
      <c r="L179" s="15" t="s">
        <v>222</v>
      </c>
      <c r="M179" s="15" t="s">
        <v>115</v>
      </c>
      <c r="N179" s="15">
        <f t="shared" si="2"/>
        <v>908</v>
      </c>
    </row>
    <row r="180" spans="1:14" x14ac:dyDescent="0.3">
      <c r="A180" s="15" t="s">
        <v>434</v>
      </c>
      <c r="B180" s="15" t="s">
        <v>1</v>
      </c>
      <c r="C180" s="15" t="s">
        <v>372</v>
      </c>
      <c r="D180" s="15" t="s">
        <v>102</v>
      </c>
      <c r="E180" s="15" t="s">
        <v>103</v>
      </c>
      <c r="F180" s="15">
        <v>3796</v>
      </c>
      <c r="G180" s="15">
        <v>667</v>
      </c>
      <c r="H180" s="15">
        <v>395</v>
      </c>
      <c r="I180" s="15">
        <v>64532</v>
      </c>
      <c r="J180" s="15">
        <v>63550</v>
      </c>
      <c r="K180" s="15">
        <v>292</v>
      </c>
      <c r="L180" s="15" t="s">
        <v>118</v>
      </c>
      <c r="M180" s="15" t="s">
        <v>82</v>
      </c>
      <c r="N180" s="15">
        <f t="shared" si="2"/>
        <v>4858</v>
      </c>
    </row>
    <row r="181" spans="1:14" x14ac:dyDescent="0.3">
      <c r="A181" s="15" t="s">
        <v>435</v>
      </c>
      <c r="B181" s="15" t="s">
        <v>4</v>
      </c>
      <c r="C181" s="15" t="s">
        <v>417</v>
      </c>
      <c r="D181" s="15" t="s">
        <v>85</v>
      </c>
      <c r="E181" s="15" t="s">
        <v>86</v>
      </c>
      <c r="F181" s="15">
        <v>3711</v>
      </c>
      <c r="G181" s="15">
        <v>352</v>
      </c>
      <c r="H181" s="15">
        <v>290</v>
      </c>
      <c r="I181" s="15">
        <v>48243</v>
      </c>
      <c r="J181" s="15">
        <v>47579</v>
      </c>
      <c r="K181" s="15">
        <v>11</v>
      </c>
      <c r="L181" s="15" t="s">
        <v>222</v>
      </c>
      <c r="M181" s="15" t="s">
        <v>115</v>
      </c>
      <c r="N181" s="15">
        <f t="shared" si="2"/>
        <v>4353</v>
      </c>
    </row>
    <row r="182" spans="1:14" x14ac:dyDescent="0.3">
      <c r="A182" s="15" t="s">
        <v>436</v>
      </c>
      <c r="B182" s="15" t="s">
        <v>4</v>
      </c>
      <c r="C182" s="15" t="s">
        <v>437</v>
      </c>
      <c r="D182" s="15" t="s">
        <v>109</v>
      </c>
      <c r="E182" s="15" t="s">
        <v>110</v>
      </c>
      <c r="F182" s="15">
        <v>606</v>
      </c>
      <c r="G182" s="15">
        <v>789</v>
      </c>
      <c r="H182" s="15">
        <v>470</v>
      </c>
      <c r="I182" s="15">
        <v>7878</v>
      </c>
      <c r="J182" s="15">
        <v>7389</v>
      </c>
      <c r="K182" s="15">
        <v>239</v>
      </c>
      <c r="L182" s="15" t="s">
        <v>81</v>
      </c>
      <c r="M182" s="15" t="s">
        <v>88</v>
      </c>
      <c r="N182" s="15">
        <f t="shared" si="2"/>
        <v>1865</v>
      </c>
    </row>
    <row r="183" spans="1:14" x14ac:dyDescent="0.3">
      <c r="A183" s="15" t="s">
        <v>438</v>
      </c>
      <c r="B183" s="15" t="s">
        <v>1</v>
      </c>
      <c r="C183" s="15" t="s">
        <v>171</v>
      </c>
      <c r="D183" s="15" t="s">
        <v>109</v>
      </c>
      <c r="E183" s="15" t="s">
        <v>110</v>
      </c>
      <c r="F183" s="15">
        <v>4689</v>
      </c>
      <c r="G183" s="15">
        <v>134</v>
      </c>
      <c r="H183" s="15">
        <v>403</v>
      </c>
      <c r="I183" s="15">
        <v>51579</v>
      </c>
      <c r="J183" s="15">
        <v>50924</v>
      </c>
      <c r="K183" s="15">
        <v>173</v>
      </c>
      <c r="L183" s="15" t="s">
        <v>137</v>
      </c>
      <c r="M183" s="15" t="s">
        <v>82</v>
      </c>
      <c r="N183" s="15">
        <f t="shared" si="2"/>
        <v>5226</v>
      </c>
    </row>
    <row r="184" spans="1:14" x14ac:dyDescent="0.3">
      <c r="A184" s="15" t="s">
        <v>439</v>
      </c>
      <c r="B184" s="15" t="s">
        <v>2</v>
      </c>
      <c r="C184" s="15" t="s">
        <v>440</v>
      </c>
      <c r="D184" s="15" t="s">
        <v>94</v>
      </c>
      <c r="E184" s="15" t="s">
        <v>95</v>
      </c>
      <c r="F184" s="15">
        <v>360</v>
      </c>
      <c r="G184" s="15">
        <v>590</v>
      </c>
      <c r="H184" s="15">
        <v>393</v>
      </c>
      <c r="I184" s="15">
        <v>4680</v>
      </c>
      <c r="J184" s="15">
        <v>4322</v>
      </c>
      <c r="K184" s="15">
        <v>208</v>
      </c>
      <c r="L184" s="15" t="s">
        <v>222</v>
      </c>
      <c r="M184" s="15" t="s">
        <v>88</v>
      </c>
      <c r="N184" s="15">
        <f t="shared" si="2"/>
        <v>1343</v>
      </c>
    </row>
    <row r="185" spans="1:14" x14ac:dyDescent="0.3">
      <c r="A185" s="15" t="s">
        <v>441</v>
      </c>
      <c r="B185" s="15" t="s">
        <v>3</v>
      </c>
      <c r="C185" s="15" t="s">
        <v>442</v>
      </c>
      <c r="D185" s="15" t="s">
        <v>109</v>
      </c>
      <c r="E185" s="15" t="s">
        <v>110</v>
      </c>
      <c r="F185" s="15">
        <v>3215</v>
      </c>
      <c r="G185" s="15">
        <v>960</v>
      </c>
      <c r="H185" s="15">
        <v>202</v>
      </c>
      <c r="I185" s="15">
        <v>32150</v>
      </c>
      <c r="J185" s="15">
        <v>31404</v>
      </c>
      <c r="K185" s="15">
        <v>251</v>
      </c>
      <c r="L185" s="15" t="s">
        <v>118</v>
      </c>
      <c r="M185" s="15" t="s">
        <v>99</v>
      </c>
      <c r="N185" s="15">
        <f t="shared" si="2"/>
        <v>4377</v>
      </c>
    </row>
    <row r="186" spans="1:14" x14ac:dyDescent="0.3">
      <c r="A186" s="15" t="s">
        <v>443</v>
      </c>
      <c r="B186" s="15" t="s">
        <v>2</v>
      </c>
      <c r="C186" s="15" t="s">
        <v>444</v>
      </c>
      <c r="D186" s="15" t="s">
        <v>102</v>
      </c>
      <c r="E186" s="15" t="s">
        <v>103</v>
      </c>
      <c r="F186" s="15">
        <v>4523</v>
      </c>
      <c r="G186" s="15">
        <v>61</v>
      </c>
      <c r="H186" s="15">
        <v>157</v>
      </c>
      <c r="I186" s="15">
        <v>49753</v>
      </c>
      <c r="J186" s="15">
        <v>49329</v>
      </c>
      <c r="K186" s="15">
        <v>71</v>
      </c>
      <c r="L186" s="15" t="s">
        <v>162</v>
      </c>
      <c r="M186" s="15" t="s">
        <v>115</v>
      </c>
      <c r="N186" s="15">
        <f t="shared" si="2"/>
        <v>4741</v>
      </c>
    </row>
    <row r="187" spans="1:14" x14ac:dyDescent="0.3">
      <c r="A187" s="15" t="s">
        <v>445</v>
      </c>
      <c r="B187" s="15" t="s">
        <v>1</v>
      </c>
      <c r="C187" s="15" t="s">
        <v>403</v>
      </c>
      <c r="D187" s="15" t="s">
        <v>102</v>
      </c>
      <c r="E187" s="15" t="s">
        <v>103</v>
      </c>
      <c r="F187" s="15">
        <v>4292</v>
      </c>
      <c r="G187" s="15">
        <v>51</v>
      </c>
      <c r="H187" s="15">
        <v>392</v>
      </c>
      <c r="I187" s="15">
        <v>55796</v>
      </c>
      <c r="J187" s="15">
        <v>54826</v>
      </c>
      <c r="K187" s="15">
        <v>264</v>
      </c>
      <c r="L187" s="15" t="s">
        <v>274</v>
      </c>
      <c r="M187" s="15" t="s">
        <v>82</v>
      </c>
      <c r="N187" s="15">
        <f t="shared" si="2"/>
        <v>4735</v>
      </c>
    </row>
    <row r="188" spans="1:14" x14ac:dyDescent="0.3">
      <c r="A188" s="15" t="s">
        <v>446</v>
      </c>
      <c r="B188" s="15" t="s">
        <v>3</v>
      </c>
      <c r="C188" s="15" t="s">
        <v>447</v>
      </c>
      <c r="D188" s="15" t="s">
        <v>79</v>
      </c>
      <c r="E188" s="15" t="s">
        <v>80</v>
      </c>
      <c r="F188" s="15">
        <v>1644</v>
      </c>
      <c r="G188" s="15">
        <v>546</v>
      </c>
      <c r="H188" s="15">
        <v>150</v>
      </c>
      <c r="I188" s="15">
        <v>27948</v>
      </c>
      <c r="J188" s="15">
        <v>27184</v>
      </c>
      <c r="K188" s="15">
        <v>300</v>
      </c>
      <c r="L188" s="15" t="s">
        <v>162</v>
      </c>
      <c r="M188" s="15" t="s">
        <v>82</v>
      </c>
      <c r="N188" s="15">
        <f t="shared" si="2"/>
        <v>2340</v>
      </c>
    </row>
    <row r="189" spans="1:14" x14ac:dyDescent="0.3">
      <c r="A189" s="15" t="s">
        <v>448</v>
      </c>
      <c r="B189" s="15" t="s">
        <v>4</v>
      </c>
      <c r="C189" s="15" t="s">
        <v>281</v>
      </c>
      <c r="D189" s="15" t="s">
        <v>79</v>
      </c>
      <c r="E189" s="15" t="s">
        <v>80</v>
      </c>
      <c r="F189" s="15">
        <v>2728</v>
      </c>
      <c r="G189" s="15">
        <v>533</v>
      </c>
      <c r="H189" s="15">
        <v>215</v>
      </c>
      <c r="I189" s="15">
        <v>40920</v>
      </c>
      <c r="J189" s="15">
        <v>40816</v>
      </c>
      <c r="K189" s="15">
        <v>137</v>
      </c>
      <c r="L189" s="15" t="s">
        <v>81</v>
      </c>
      <c r="M189" s="15" t="s">
        <v>88</v>
      </c>
      <c r="N189" s="15">
        <f t="shared" si="2"/>
        <v>3476</v>
      </c>
    </row>
    <row r="190" spans="1:14" x14ac:dyDescent="0.3">
      <c r="A190" s="15" t="s">
        <v>449</v>
      </c>
      <c r="B190" s="15" t="s">
        <v>1</v>
      </c>
      <c r="C190" s="15" t="s">
        <v>289</v>
      </c>
      <c r="D190" s="15" t="s">
        <v>79</v>
      </c>
      <c r="E190" s="15" t="s">
        <v>80</v>
      </c>
      <c r="F190" s="15">
        <v>3360</v>
      </c>
      <c r="G190" s="15">
        <v>525</v>
      </c>
      <c r="H190" s="15">
        <v>500</v>
      </c>
      <c r="I190" s="15">
        <v>60480</v>
      </c>
      <c r="J190" s="15">
        <v>59610</v>
      </c>
      <c r="K190" s="15">
        <v>192</v>
      </c>
      <c r="L190" s="15" t="s">
        <v>142</v>
      </c>
      <c r="M190" s="15" t="s">
        <v>82</v>
      </c>
      <c r="N190" s="15">
        <f t="shared" si="2"/>
        <v>4385</v>
      </c>
    </row>
    <row r="191" spans="1:14" x14ac:dyDescent="0.3">
      <c r="A191" s="15" t="s">
        <v>450</v>
      </c>
      <c r="B191" s="15" t="s">
        <v>4</v>
      </c>
      <c r="C191" s="15" t="s">
        <v>451</v>
      </c>
      <c r="D191" s="15" t="s">
        <v>85</v>
      </c>
      <c r="E191" s="15" t="s">
        <v>86</v>
      </c>
      <c r="F191" s="15">
        <v>1963</v>
      </c>
      <c r="G191" s="15">
        <v>213</v>
      </c>
      <c r="H191" s="15">
        <v>19</v>
      </c>
      <c r="I191" s="15">
        <v>39260</v>
      </c>
      <c r="J191" s="15">
        <v>38771</v>
      </c>
      <c r="K191" s="15">
        <v>145</v>
      </c>
      <c r="L191" s="15" t="s">
        <v>118</v>
      </c>
      <c r="M191" s="15" t="s">
        <v>82</v>
      </c>
      <c r="N191" s="15">
        <f t="shared" si="2"/>
        <v>2195</v>
      </c>
    </row>
    <row r="192" spans="1:14" x14ac:dyDescent="0.3">
      <c r="A192" s="15" t="s">
        <v>452</v>
      </c>
      <c r="B192" s="15" t="s">
        <v>4</v>
      </c>
      <c r="C192" s="15" t="s">
        <v>417</v>
      </c>
      <c r="D192" s="15" t="s">
        <v>94</v>
      </c>
      <c r="E192" s="15" t="s">
        <v>95</v>
      </c>
      <c r="F192" s="15">
        <v>4285</v>
      </c>
      <c r="G192" s="15">
        <v>886</v>
      </c>
      <c r="H192" s="15">
        <v>376</v>
      </c>
      <c r="I192" s="15">
        <v>55705</v>
      </c>
      <c r="J192" s="15">
        <v>55556</v>
      </c>
      <c r="K192" s="15">
        <v>51</v>
      </c>
      <c r="L192" s="15" t="s">
        <v>131</v>
      </c>
      <c r="M192" s="15" t="s">
        <v>115</v>
      </c>
      <c r="N192" s="15">
        <f t="shared" si="2"/>
        <v>5547</v>
      </c>
    </row>
    <row r="193" spans="1:14" x14ac:dyDescent="0.3">
      <c r="A193" s="15" t="s">
        <v>453</v>
      </c>
      <c r="B193" s="15" t="s">
        <v>2</v>
      </c>
      <c r="C193" s="15" t="s">
        <v>454</v>
      </c>
      <c r="D193" s="15" t="s">
        <v>129</v>
      </c>
      <c r="E193" s="15" t="s">
        <v>130</v>
      </c>
      <c r="F193" s="15">
        <v>1176</v>
      </c>
      <c r="G193" s="15">
        <v>464</v>
      </c>
      <c r="H193" s="15">
        <v>394</v>
      </c>
      <c r="I193" s="15">
        <v>14112</v>
      </c>
      <c r="J193" s="15">
        <v>13588</v>
      </c>
      <c r="K193" s="15">
        <v>272</v>
      </c>
      <c r="L193" s="15" t="s">
        <v>137</v>
      </c>
      <c r="M193" s="15" t="s">
        <v>82</v>
      </c>
      <c r="N193" s="15">
        <f t="shared" si="2"/>
        <v>2034</v>
      </c>
    </row>
    <row r="194" spans="1:14" x14ac:dyDescent="0.3">
      <c r="A194" s="15" t="s">
        <v>455</v>
      </c>
      <c r="B194" s="15" t="s">
        <v>3</v>
      </c>
      <c r="C194" s="15" t="s">
        <v>456</v>
      </c>
      <c r="D194" s="15" t="s">
        <v>109</v>
      </c>
      <c r="E194" s="15" t="s">
        <v>110</v>
      </c>
      <c r="F194" s="15">
        <v>4858</v>
      </c>
      <c r="G194" s="15">
        <v>317</v>
      </c>
      <c r="H194" s="15">
        <v>129</v>
      </c>
      <c r="I194" s="15">
        <v>53438</v>
      </c>
      <c r="J194" s="15">
        <v>52687</v>
      </c>
      <c r="K194" s="15">
        <v>223</v>
      </c>
      <c r="L194" s="15" t="s">
        <v>238</v>
      </c>
      <c r="M194" s="15" t="s">
        <v>82</v>
      </c>
      <c r="N194" s="15">
        <f t="shared" si="2"/>
        <v>5304</v>
      </c>
    </row>
    <row r="195" spans="1:14" x14ac:dyDescent="0.3">
      <c r="A195" s="15" t="s">
        <v>457</v>
      </c>
      <c r="B195" s="15" t="s">
        <v>4</v>
      </c>
      <c r="C195" s="15" t="s">
        <v>330</v>
      </c>
      <c r="D195" s="15" t="s">
        <v>94</v>
      </c>
      <c r="E195" s="15" t="s">
        <v>95</v>
      </c>
      <c r="F195" s="15">
        <v>4350</v>
      </c>
      <c r="G195" s="15">
        <v>771</v>
      </c>
      <c r="H195" s="15">
        <v>7</v>
      </c>
      <c r="I195" s="15">
        <v>60900</v>
      </c>
      <c r="J195" s="15">
        <v>60592</v>
      </c>
      <c r="K195" s="15">
        <v>195</v>
      </c>
      <c r="L195" s="15" t="s">
        <v>324</v>
      </c>
      <c r="M195" s="15" t="s">
        <v>88</v>
      </c>
      <c r="N195" s="15">
        <f t="shared" ref="N195:N258" si="3">SUM(F195,G195,H195)</f>
        <v>5128</v>
      </c>
    </row>
    <row r="196" spans="1:14" x14ac:dyDescent="0.3">
      <c r="A196" s="15" t="s">
        <v>458</v>
      </c>
      <c r="B196" s="15" t="s">
        <v>2</v>
      </c>
      <c r="C196" s="15" t="s">
        <v>459</v>
      </c>
      <c r="D196" s="15" t="s">
        <v>102</v>
      </c>
      <c r="E196" s="15" t="s">
        <v>103</v>
      </c>
      <c r="F196" s="15">
        <v>914</v>
      </c>
      <c r="G196" s="15">
        <v>464</v>
      </c>
      <c r="H196" s="15">
        <v>246</v>
      </c>
      <c r="I196" s="15">
        <v>11882</v>
      </c>
      <c r="J196" s="15">
        <v>11500</v>
      </c>
      <c r="K196" s="15">
        <v>282</v>
      </c>
      <c r="L196" s="15" t="s">
        <v>345</v>
      </c>
      <c r="M196" s="15" t="s">
        <v>99</v>
      </c>
      <c r="N196" s="15">
        <f t="shared" si="3"/>
        <v>1624</v>
      </c>
    </row>
    <row r="197" spans="1:14" x14ac:dyDescent="0.3">
      <c r="A197" s="15" t="s">
        <v>460</v>
      </c>
      <c r="B197" s="15" t="s">
        <v>2</v>
      </c>
      <c r="C197" s="15" t="s">
        <v>461</v>
      </c>
      <c r="D197" s="15" t="s">
        <v>85</v>
      </c>
      <c r="E197" s="15" t="s">
        <v>86</v>
      </c>
      <c r="F197" s="15">
        <v>1813</v>
      </c>
      <c r="G197" s="15">
        <v>623</v>
      </c>
      <c r="H197" s="15">
        <v>72</v>
      </c>
      <c r="I197" s="15">
        <v>19943</v>
      </c>
      <c r="J197" s="15">
        <v>18959</v>
      </c>
      <c r="K197" s="15">
        <v>85</v>
      </c>
      <c r="L197" s="15" t="s">
        <v>165</v>
      </c>
      <c r="M197" s="15" t="s">
        <v>99</v>
      </c>
      <c r="N197" s="15">
        <f t="shared" si="3"/>
        <v>2508</v>
      </c>
    </row>
    <row r="198" spans="1:14" x14ac:dyDescent="0.3">
      <c r="A198" s="15" t="s">
        <v>462</v>
      </c>
      <c r="B198" s="15" t="s">
        <v>3</v>
      </c>
      <c r="C198" s="15" t="s">
        <v>396</v>
      </c>
      <c r="D198" s="15" t="s">
        <v>79</v>
      </c>
      <c r="E198" s="15" t="s">
        <v>80</v>
      </c>
      <c r="F198" s="15">
        <v>4782</v>
      </c>
      <c r="G198" s="15">
        <v>721</v>
      </c>
      <c r="H198" s="15">
        <v>82</v>
      </c>
      <c r="I198" s="15">
        <v>86076</v>
      </c>
      <c r="J198" s="15">
        <v>85339</v>
      </c>
      <c r="K198" s="15">
        <v>19</v>
      </c>
      <c r="L198" s="15" t="s">
        <v>137</v>
      </c>
      <c r="M198" s="15" t="s">
        <v>88</v>
      </c>
      <c r="N198" s="15">
        <f t="shared" si="3"/>
        <v>5585</v>
      </c>
    </row>
    <row r="199" spans="1:14" x14ac:dyDescent="0.3">
      <c r="A199" s="15" t="s">
        <v>463</v>
      </c>
      <c r="B199" s="15" t="s">
        <v>3</v>
      </c>
      <c r="C199" s="15" t="s">
        <v>464</v>
      </c>
      <c r="D199" s="15" t="s">
        <v>109</v>
      </c>
      <c r="E199" s="15" t="s">
        <v>110</v>
      </c>
      <c r="F199" s="15">
        <v>1048</v>
      </c>
      <c r="G199" s="15">
        <v>374</v>
      </c>
      <c r="H199" s="15">
        <v>450</v>
      </c>
      <c r="I199" s="15">
        <v>9432</v>
      </c>
      <c r="J199" s="15">
        <v>8882</v>
      </c>
      <c r="K199" s="15">
        <v>158</v>
      </c>
      <c r="L199" s="15" t="s">
        <v>269</v>
      </c>
      <c r="M199" s="15" t="s">
        <v>88</v>
      </c>
      <c r="N199" s="15">
        <f t="shared" si="3"/>
        <v>1872</v>
      </c>
    </row>
    <row r="200" spans="1:14" x14ac:dyDescent="0.3">
      <c r="A200" s="15" t="s">
        <v>465</v>
      </c>
      <c r="B200" s="15" t="s">
        <v>4</v>
      </c>
      <c r="C200" s="15" t="s">
        <v>178</v>
      </c>
      <c r="D200" s="15" t="s">
        <v>102</v>
      </c>
      <c r="E200" s="15" t="s">
        <v>103</v>
      </c>
      <c r="F200" s="15">
        <v>2509</v>
      </c>
      <c r="G200" s="15">
        <v>324</v>
      </c>
      <c r="H200" s="15">
        <v>171</v>
      </c>
      <c r="I200" s="15">
        <v>35126</v>
      </c>
      <c r="J200" s="15">
        <v>34685</v>
      </c>
      <c r="K200" s="15">
        <v>277</v>
      </c>
      <c r="L200" s="15" t="s">
        <v>137</v>
      </c>
      <c r="M200" s="15" t="s">
        <v>88</v>
      </c>
      <c r="N200" s="15">
        <f t="shared" si="3"/>
        <v>3004</v>
      </c>
    </row>
    <row r="201" spans="1:14" x14ac:dyDescent="0.3">
      <c r="A201" s="15" t="s">
        <v>466</v>
      </c>
      <c r="B201" s="15" t="s">
        <v>1</v>
      </c>
      <c r="C201" s="15" t="s">
        <v>467</v>
      </c>
      <c r="D201" s="15" t="s">
        <v>79</v>
      </c>
      <c r="E201" s="15" t="s">
        <v>80</v>
      </c>
      <c r="F201" s="15">
        <v>3718</v>
      </c>
      <c r="G201" s="15">
        <v>385</v>
      </c>
      <c r="H201" s="15">
        <v>310</v>
      </c>
      <c r="I201" s="15">
        <v>70642</v>
      </c>
      <c r="J201" s="15">
        <v>69749</v>
      </c>
      <c r="K201" s="15">
        <v>233</v>
      </c>
      <c r="L201" s="15" t="s">
        <v>104</v>
      </c>
      <c r="M201" s="15" t="s">
        <v>82</v>
      </c>
      <c r="N201" s="15">
        <f t="shared" si="3"/>
        <v>4413</v>
      </c>
    </row>
    <row r="202" spans="1:14" x14ac:dyDescent="0.3">
      <c r="A202" s="15" t="s">
        <v>468</v>
      </c>
      <c r="B202" s="15" t="s">
        <v>3</v>
      </c>
      <c r="C202" s="15" t="s">
        <v>469</v>
      </c>
      <c r="D202" s="15" t="s">
        <v>79</v>
      </c>
      <c r="E202" s="15" t="s">
        <v>80</v>
      </c>
      <c r="F202" s="15">
        <v>802</v>
      </c>
      <c r="G202" s="15">
        <v>262</v>
      </c>
      <c r="H202" s="15">
        <v>244</v>
      </c>
      <c r="I202" s="15">
        <v>14436</v>
      </c>
      <c r="J202" s="15">
        <v>14280</v>
      </c>
      <c r="K202" s="15">
        <v>49</v>
      </c>
      <c r="L202" s="15" t="s">
        <v>134</v>
      </c>
      <c r="M202" s="15" t="s">
        <v>115</v>
      </c>
      <c r="N202" s="15">
        <f t="shared" si="3"/>
        <v>1308</v>
      </c>
    </row>
    <row r="203" spans="1:14" x14ac:dyDescent="0.3">
      <c r="A203" s="15" t="s">
        <v>470</v>
      </c>
      <c r="B203" s="15" t="s">
        <v>1</v>
      </c>
      <c r="C203" s="15" t="s">
        <v>471</v>
      </c>
      <c r="D203" s="15" t="s">
        <v>109</v>
      </c>
      <c r="E203" s="15" t="s">
        <v>110</v>
      </c>
      <c r="F203" s="15">
        <v>1871</v>
      </c>
      <c r="G203" s="15">
        <v>252</v>
      </c>
      <c r="H203" s="15">
        <v>335</v>
      </c>
      <c r="I203" s="15">
        <v>29936</v>
      </c>
      <c r="J203" s="15">
        <v>29576</v>
      </c>
      <c r="K203" s="15">
        <v>288</v>
      </c>
      <c r="L203" s="15" t="s">
        <v>104</v>
      </c>
      <c r="M203" s="15" t="s">
        <v>88</v>
      </c>
      <c r="N203" s="15">
        <f t="shared" si="3"/>
        <v>2458</v>
      </c>
    </row>
    <row r="204" spans="1:14" x14ac:dyDescent="0.3">
      <c r="A204" s="15" t="s">
        <v>472</v>
      </c>
      <c r="B204" s="15" t="s">
        <v>2</v>
      </c>
      <c r="C204" s="15" t="s">
        <v>473</v>
      </c>
      <c r="D204" s="15" t="s">
        <v>102</v>
      </c>
      <c r="E204" s="15" t="s">
        <v>103</v>
      </c>
      <c r="F204" s="15">
        <v>3773</v>
      </c>
      <c r="G204" s="15">
        <v>299</v>
      </c>
      <c r="H204" s="15">
        <v>38</v>
      </c>
      <c r="I204" s="15">
        <v>71687</v>
      </c>
      <c r="J204" s="15">
        <v>71447</v>
      </c>
      <c r="K204" s="15">
        <v>286</v>
      </c>
      <c r="L204" s="15" t="s">
        <v>104</v>
      </c>
      <c r="M204" s="15" t="s">
        <v>115</v>
      </c>
      <c r="N204" s="15">
        <f t="shared" si="3"/>
        <v>4110</v>
      </c>
    </row>
    <row r="205" spans="1:14" x14ac:dyDescent="0.3">
      <c r="A205" s="15" t="s">
        <v>474</v>
      </c>
      <c r="B205" s="15" t="s">
        <v>2</v>
      </c>
      <c r="C205" s="15" t="s">
        <v>391</v>
      </c>
      <c r="D205" s="15" t="s">
        <v>102</v>
      </c>
      <c r="E205" s="15" t="s">
        <v>103</v>
      </c>
      <c r="F205" s="15">
        <v>2234</v>
      </c>
      <c r="G205" s="15">
        <v>653</v>
      </c>
      <c r="H205" s="15">
        <v>432</v>
      </c>
      <c r="I205" s="15">
        <v>11170</v>
      </c>
      <c r="J205" s="15">
        <v>10569</v>
      </c>
      <c r="K205" s="15">
        <v>198</v>
      </c>
      <c r="L205" s="15" t="s">
        <v>324</v>
      </c>
      <c r="M205" s="15" t="s">
        <v>115</v>
      </c>
      <c r="N205" s="15">
        <f t="shared" si="3"/>
        <v>3319</v>
      </c>
    </row>
    <row r="206" spans="1:14" x14ac:dyDescent="0.3">
      <c r="A206" s="15" t="s">
        <v>475</v>
      </c>
      <c r="B206" s="15" t="s">
        <v>3</v>
      </c>
      <c r="C206" s="15" t="s">
        <v>362</v>
      </c>
      <c r="D206" s="15" t="s">
        <v>129</v>
      </c>
      <c r="E206" s="15" t="s">
        <v>130</v>
      </c>
      <c r="F206" s="15">
        <v>3820</v>
      </c>
      <c r="G206" s="15">
        <v>697</v>
      </c>
      <c r="H206" s="15">
        <v>268</v>
      </c>
      <c r="I206" s="15">
        <v>45840</v>
      </c>
      <c r="J206" s="15">
        <v>45631</v>
      </c>
      <c r="K206" s="15">
        <v>171</v>
      </c>
      <c r="L206" s="15" t="s">
        <v>222</v>
      </c>
      <c r="M206" s="15" t="s">
        <v>82</v>
      </c>
      <c r="N206" s="15">
        <f t="shared" si="3"/>
        <v>4785</v>
      </c>
    </row>
    <row r="207" spans="1:14" x14ac:dyDescent="0.3">
      <c r="A207" s="15" t="s">
        <v>476</v>
      </c>
      <c r="B207" s="15" t="s">
        <v>3</v>
      </c>
      <c r="C207" s="15" t="s">
        <v>106</v>
      </c>
      <c r="D207" s="15" t="s">
        <v>85</v>
      </c>
      <c r="E207" s="15" t="s">
        <v>86</v>
      </c>
      <c r="F207" s="15">
        <v>941</v>
      </c>
      <c r="G207" s="15">
        <v>121</v>
      </c>
      <c r="H207" s="15">
        <v>458</v>
      </c>
      <c r="I207" s="15">
        <v>14115</v>
      </c>
      <c r="J207" s="15">
        <v>13838</v>
      </c>
      <c r="K207" s="15">
        <v>87</v>
      </c>
      <c r="L207" s="15" t="s">
        <v>91</v>
      </c>
      <c r="M207" s="15" t="s">
        <v>88</v>
      </c>
      <c r="N207" s="15">
        <f t="shared" si="3"/>
        <v>1520</v>
      </c>
    </row>
    <row r="208" spans="1:14" x14ac:dyDescent="0.3">
      <c r="A208" s="15" t="s">
        <v>477</v>
      </c>
      <c r="B208" s="15" t="s">
        <v>3</v>
      </c>
      <c r="C208" s="15" t="s">
        <v>478</v>
      </c>
      <c r="D208" s="15" t="s">
        <v>102</v>
      </c>
      <c r="E208" s="15" t="s">
        <v>103</v>
      </c>
      <c r="F208" s="15">
        <v>4274</v>
      </c>
      <c r="G208" s="15">
        <v>340</v>
      </c>
      <c r="H208" s="15">
        <v>281</v>
      </c>
      <c r="I208" s="15">
        <v>34192</v>
      </c>
      <c r="J208" s="15">
        <v>33446</v>
      </c>
      <c r="K208" s="15">
        <v>129</v>
      </c>
      <c r="L208" s="15" t="s">
        <v>222</v>
      </c>
      <c r="M208" s="15" t="s">
        <v>99</v>
      </c>
      <c r="N208" s="15">
        <f t="shared" si="3"/>
        <v>4895</v>
      </c>
    </row>
    <row r="209" spans="1:14" x14ac:dyDescent="0.3">
      <c r="A209" s="15" t="s">
        <v>479</v>
      </c>
      <c r="B209" s="15" t="s">
        <v>4</v>
      </c>
      <c r="C209" s="15" t="s">
        <v>106</v>
      </c>
      <c r="D209" s="15" t="s">
        <v>129</v>
      </c>
      <c r="E209" s="15" t="s">
        <v>130</v>
      </c>
      <c r="F209" s="15">
        <v>2949</v>
      </c>
      <c r="G209" s="15">
        <v>476</v>
      </c>
      <c r="H209" s="15">
        <v>403</v>
      </c>
      <c r="I209" s="15">
        <v>44235</v>
      </c>
      <c r="J209" s="15">
        <v>43705</v>
      </c>
      <c r="K209" s="15">
        <v>135</v>
      </c>
      <c r="L209" s="15" t="s">
        <v>176</v>
      </c>
      <c r="M209" s="15" t="s">
        <v>82</v>
      </c>
      <c r="N209" s="15">
        <f t="shared" si="3"/>
        <v>3828</v>
      </c>
    </row>
    <row r="210" spans="1:14" x14ac:dyDescent="0.3">
      <c r="A210" s="15" t="s">
        <v>480</v>
      </c>
      <c r="B210" s="15" t="s">
        <v>3</v>
      </c>
      <c r="C210" s="15" t="s">
        <v>481</v>
      </c>
      <c r="D210" s="15" t="s">
        <v>129</v>
      </c>
      <c r="E210" s="15" t="s">
        <v>130</v>
      </c>
      <c r="F210" s="15">
        <v>3160</v>
      </c>
      <c r="G210" s="15">
        <v>204</v>
      </c>
      <c r="H210" s="15">
        <v>297</v>
      </c>
      <c r="I210" s="15">
        <v>44240</v>
      </c>
      <c r="J210" s="15">
        <v>43666</v>
      </c>
      <c r="K210" s="15">
        <v>49</v>
      </c>
      <c r="L210" s="15" t="s">
        <v>147</v>
      </c>
      <c r="M210" s="15" t="s">
        <v>82</v>
      </c>
      <c r="N210" s="15">
        <f t="shared" si="3"/>
        <v>3661</v>
      </c>
    </row>
    <row r="211" spans="1:14" x14ac:dyDescent="0.3">
      <c r="A211" s="15" t="s">
        <v>482</v>
      </c>
      <c r="B211" s="15" t="s">
        <v>4</v>
      </c>
      <c r="C211" s="15" t="s">
        <v>405</v>
      </c>
      <c r="D211" s="15" t="s">
        <v>109</v>
      </c>
      <c r="E211" s="15" t="s">
        <v>110</v>
      </c>
      <c r="F211" s="15">
        <v>257</v>
      </c>
      <c r="G211" s="15">
        <v>966</v>
      </c>
      <c r="H211" s="15">
        <v>398</v>
      </c>
      <c r="I211" s="15">
        <v>3341</v>
      </c>
      <c r="J211" s="15">
        <v>2753</v>
      </c>
      <c r="K211" s="15">
        <v>287</v>
      </c>
      <c r="L211" s="15" t="s">
        <v>269</v>
      </c>
      <c r="M211" s="15" t="s">
        <v>82</v>
      </c>
      <c r="N211" s="15">
        <f t="shared" si="3"/>
        <v>1621</v>
      </c>
    </row>
    <row r="212" spans="1:14" x14ac:dyDescent="0.3">
      <c r="A212" s="15" t="s">
        <v>483</v>
      </c>
      <c r="B212" s="15" t="s">
        <v>3</v>
      </c>
      <c r="C212" s="15" t="s">
        <v>484</v>
      </c>
      <c r="D212" s="15" t="s">
        <v>102</v>
      </c>
      <c r="E212" s="15" t="s">
        <v>103</v>
      </c>
      <c r="F212" s="15">
        <v>2120</v>
      </c>
      <c r="G212" s="15">
        <v>38</v>
      </c>
      <c r="H212" s="15">
        <v>212</v>
      </c>
      <c r="I212" s="15">
        <v>12720</v>
      </c>
      <c r="J212" s="15">
        <v>12564</v>
      </c>
      <c r="K212" s="15">
        <v>21</v>
      </c>
      <c r="L212" s="15" t="s">
        <v>269</v>
      </c>
      <c r="M212" s="15" t="s">
        <v>82</v>
      </c>
      <c r="N212" s="15">
        <f t="shared" si="3"/>
        <v>2370</v>
      </c>
    </row>
    <row r="213" spans="1:14" x14ac:dyDescent="0.3">
      <c r="A213" s="15" t="s">
        <v>485</v>
      </c>
      <c r="B213" s="15" t="s">
        <v>4</v>
      </c>
      <c r="C213" s="15" t="s">
        <v>253</v>
      </c>
      <c r="D213" s="15" t="s">
        <v>129</v>
      </c>
      <c r="E213" s="15" t="s">
        <v>130</v>
      </c>
      <c r="F213" s="15">
        <v>3874</v>
      </c>
      <c r="G213" s="15">
        <v>884</v>
      </c>
      <c r="H213" s="15">
        <v>19</v>
      </c>
      <c r="I213" s="15">
        <v>38740</v>
      </c>
      <c r="J213" s="15">
        <v>38552</v>
      </c>
      <c r="K213" s="15">
        <v>219</v>
      </c>
      <c r="L213" s="15" t="s">
        <v>118</v>
      </c>
      <c r="M213" s="15" t="s">
        <v>115</v>
      </c>
      <c r="N213" s="15">
        <f t="shared" si="3"/>
        <v>4777</v>
      </c>
    </row>
    <row r="214" spans="1:14" x14ac:dyDescent="0.3">
      <c r="A214" s="15" t="s">
        <v>486</v>
      </c>
      <c r="B214" s="15" t="s">
        <v>1</v>
      </c>
      <c r="C214" s="15" t="s">
        <v>487</v>
      </c>
      <c r="D214" s="15" t="s">
        <v>102</v>
      </c>
      <c r="E214" s="15" t="s">
        <v>103</v>
      </c>
      <c r="F214" s="15">
        <v>2696</v>
      </c>
      <c r="G214" s="15">
        <v>628</v>
      </c>
      <c r="H214" s="15">
        <v>443</v>
      </c>
      <c r="I214" s="15">
        <v>45832</v>
      </c>
      <c r="J214" s="15">
        <v>45632</v>
      </c>
      <c r="K214" s="15">
        <v>248</v>
      </c>
      <c r="L214" s="15" t="s">
        <v>81</v>
      </c>
      <c r="M214" s="15" t="s">
        <v>99</v>
      </c>
      <c r="N214" s="15">
        <f t="shared" si="3"/>
        <v>3767</v>
      </c>
    </row>
    <row r="215" spans="1:14" x14ac:dyDescent="0.3">
      <c r="A215" s="15" t="s">
        <v>488</v>
      </c>
      <c r="B215" s="15" t="s">
        <v>2</v>
      </c>
      <c r="C215" s="15" t="s">
        <v>78</v>
      </c>
      <c r="D215" s="15" t="s">
        <v>109</v>
      </c>
      <c r="E215" s="15" t="s">
        <v>110</v>
      </c>
      <c r="F215" s="15">
        <v>521</v>
      </c>
      <c r="G215" s="15">
        <v>746</v>
      </c>
      <c r="H215" s="15">
        <v>315</v>
      </c>
      <c r="I215" s="15">
        <v>4168</v>
      </c>
      <c r="J215" s="15">
        <v>3399</v>
      </c>
      <c r="K215" s="15">
        <v>282</v>
      </c>
      <c r="L215" s="15" t="s">
        <v>81</v>
      </c>
      <c r="M215" s="15" t="s">
        <v>82</v>
      </c>
      <c r="N215" s="15">
        <f t="shared" si="3"/>
        <v>1582</v>
      </c>
    </row>
    <row r="216" spans="1:14" x14ac:dyDescent="0.3">
      <c r="A216" s="15" t="s">
        <v>489</v>
      </c>
      <c r="B216" s="15" t="s">
        <v>1</v>
      </c>
      <c r="C216" s="15" t="s">
        <v>490</v>
      </c>
      <c r="D216" s="15" t="s">
        <v>109</v>
      </c>
      <c r="E216" s="15" t="s">
        <v>110</v>
      </c>
      <c r="F216" s="15">
        <v>4872</v>
      </c>
      <c r="G216" s="15">
        <v>925</v>
      </c>
      <c r="H216" s="15">
        <v>176</v>
      </c>
      <c r="I216" s="15">
        <v>82824</v>
      </c>
      <c r="J216" s="15">
        <v>82543</v>
      </c>
      <c r="K216" s="15">
        <v>89</v>
      </c>
      <c r="L216" s="15" t="s">
        <v>162</v>
      </c>
      <c r="M216" s="15" t="s">
        <v>82</v>
      </c>
      <c r="N216" s="15">
        <f t="shared" si="3"/>
        <v>5973</v>
      </c>
    </row>
    <row r="217" spans="1:14" x14ac:dyDescent="0.3">
      <c r="A217" s="15" t="s">
        <v>491</v>
      </c>
      <c r="B217" s="15" t="s">
        <v>4</v>
      </c>
      <c r="C217" s="15" t="s">
        <v>323</v>
      </c>
      <c r="D217" s="15" t="s">
        <v>94</v>
      </c>
      <c r="E217" s="15" t="s">
        <v>95</v>
      </c>
      <c r="F217" s="15">
        <v>1509</v>
      </c>
      <c r="G217" s="15">
        <v>88</v>
      </c>
      <c r="H217" s="15">
        <v>163</v>
      </c>
      <c r="I217" s="15">
        <v>30180</v>
      </c>
      <c r="J217" s="15">
        <v>29689</v>
      </c>
      <c r="K217" s="15">
        <v>119</v>
      </c>
      <c r="L217" s="15" t="s">
        <v>104</v>
      </c>
      <c r="M217" s="15" t="s">
        <v>82</v>
      </c>
      <c r="N217" s="15">
        <f t="shared" si="3"/>
        <v>1760</v>
      </c>
    </row>
    <row r="218" spans="1:14" x14ac:dyDescent="0.3">
      <c r="A218" s="15" t="s">
        <v>492</v>
      </c>
      <c r="B218" s="15" t="s">
        <v>1</v>
      </c>
      <c r="C218" s="15" t="s">
        <v>417</v>
      </c>
      <c r="D218" s="15" t="s">
        <v>109</v>
      </c>
      <c r="E218" s="15" t="s">
        <v>110</v>
      </c>
      <c r="F218" s="15">
        <v>4606</v>
      </c>
      <c r="G218" s="15">
        <v>931</v>
      </c>
      <c r="H218" s="15">
        <v>230</v>
      </c>
      <c r="I218" s="15">
        <v>92120</v>
      </c>
      <c r="J218" s="15">
        <v>91440</v>
      </c>
      <c r="K218" s="15">
        <v>56</v>
      </c>
      <c r="L218" s="15" t="s">
        <v>204</v>
      </c>
      <c r="M218" s="15" t="s">
        <v>99</v>
      </c>
      <c r="N218" s="15">
        <f t="shared" si="3"/>
        <v>5767</v>
      </c>
    </row>
    <row r="219" spans="1:14" x14ac:dyDescent="0.3">
      <c r="A219" s="15" t="s">
        <v>493</v>
      </c>
      <c r="B219" s="15" t="s">
        <v>1</v>
      </c>
      <c r="C219" s="15" t="s">
        <v>309</v>
      </c>
      <c r="D219" s="15" t="s">
        <v>102</v>
      </c>
      <c r="E219" s="15" t="s">
        <v>103</v>
      </c>
      <c r="F219" s="15">
        <v>1869</v>
      </c>
      <c r="G219" s="15">
        <v>453</v>
      </c>
      <c r="H219" s="15">
        <v>490</v>
      </c>
      <c r="I219" s="15">
        <v>14952</v>
      </c>
      <c r="J219" s="15">
        <v>14309</v>
      </c>
      <c r="K219" s="15">
        <v>275</v>
      </c>
      <c r="L219" s="15" t="s">
        <v>324</v>
      </c>
      <c r="M219" s="15" t="s">
        <v>82</v>
      </c>
      <c r="N219" s="15">
        <f t="shared" si="3"/>
        <v>2812</v>
      </c>
    </row>
    <row r="220" spans="1:14" x14ac:dyDescent="0.3">
      <c r="A220" s="15" t="s">
        <v>494</v>
      </c>
      <c r="B220" s="15" t="s">
        <v>3</v>
      </c>
      <c r="C220" s="15" t="s">
        <v>230</v>
      </c>
      <c r="D220" s="15" t="s">
        <v>79</v>
      </c>
      <c r="E220" s="15" t="s">
        <v>80</v>
      </c>
      <c r="F220" s="15">
        <v>1188</v>
      </c>
      <c r="G220" s="15">
        <v>470</v>
      </c>
      <c r="H220" s="15">
        <v>174</v>
      </c>
      <c r="I220" s="15">
        <v>7128</v>
      </c>
      <c r="J220" s="15">
        <v>6145</v>
      </c>
      <c r="K220" s="15">
        <v>270</v>
      </c>
      <c r="L220" s="15" t="s">
        <v>98</v>
      </c>
      <c r="M220" s="15" t="s">
        <v>88</v>
      </c>
      <c r="N220" s="15">
        <f t="shared" si="3"/>
        <v>1832</v>
      </c>
    </row>
    <row r="221" spans="1:14" x14ac:dyDescent="0.3">
      <c r="A221" s="15" t="s">
        <v>495</v>
      </c>
      <c r="B221" s="15" t="s">
        <v>2</v>
      </c>
      <c r="C221" s="15" t="s">
        <v>471</v>
      </c>
      <c r="D221" s="15" t="s">
        <v>94</v>
      </c>
      <c r="E221" s="15" t="s">
        <v>95</v>
      </c>
      <c r="F221" s="15">
        <v>84</v>
      </c>
      <c r="G221" s="15">
        <v>897</v>
      </c>
      <c r="H221" s="15">
        <v>85</v>
      </c>
      <c r="I221" s="15">
        <v>588</v>
      </c>
      <c r="J221" s="15">
        <v>8</v>
      </c>
      <c r="K221" s="15">
        <v>12</v>
      </c>
      <c r="L221" s="15" t="s">
        <v>118</v>
      </c>
      <c r="M221" s="15" t="s">
        <v>88</v>
      </c>
      <c r="N221" s="15">
        <f t="shared" si="3"/>
        <v>1066</v>
      </c>
    </row>
    <row r="222" spans="1:14" x14ac:dyDescent="0.3">
      <c r="A222" s="15" t="s">
        <v>496</v>
      </c>
      <c r="B222" s="15" t="s">
        <v>1</v>
      </c>
      <c r="C222" s="15" t="s">
        <v>311</v>
      </c>
      <c r="D222" s="15" t="s">
        <v>129</v>
      </c>
      <c r="E222" s="15" t="s">
        <v>130</v>
      </c>
      <c r="F222" s="15">
        <v>4453</v>
      </c>
      <c r="G222" s="15">
        <v>111</v>
      </c>
      <c r="H222" s="15">
        <v>420</v>
      </c>
      <c r="I222" s="15">
        <v>31171</v>
      </c>
      <c r="J222" s="15">
        <v>30565</v>
      </c>
      <c r="K222" s="15">
        <v>23</v>
      </c>
      <c r="L222" s="15" t="s">
        <v>165</v>
      </c>
      <c r="M222" s="15" t="s">
        <v>115</v>
      </c>
      <c r="N222" s="15">
        <f t="shared" si="3"/>
        <v>4984</v>
      </c>
    </row>
    <row r="223" spans="1:14" x14ac:dyDescent="0.3">
      <c r="A223" s="15" t="s">
        <v>497</v>
      </c>
      <c r="B223" s="15" t="s">
        <v>1</v>
      </c>
      <c r="C223" s="15" t="s">
        <v>498</v>
      </c>
      <c r="D223" s="15" t="s">
        <v>79</v>
      </c>
      <c r="E223" s="15" t="s">
        <v>80</v>
      </c>
      <c r="F223" s="15">
        <v>1814</v>
      </c>
      <c r="G223" s="15">
        <v>653</v>
      </c>
      <c r="H223" s="15">
        <v>363</v>
      </c>
      <c r="I223" s="15">
        <v>25396</v>
      </c>
      <c r="J223" s="15">
        <v>25286</v>
      </c>
      <c r="K223" s="15">
        <v>39</v>
      </c>
      <c r="L223" s="15" t="s">
        <v>118</v>
      </c>
      <c r="M223" s="15" t="s">
        <v>82</v>
      </c>
      <c r="N223" s="15">
        <f t="shared" si="3"/>
        <v>2830</v>
      </c>
    </row>
    <row r="224" spans="1:14" x14ac:dyDescent="0.3">
      <c r="A224" s="15" t="s">
        <v>499</v>
      </c>
      <c r="B224" s="15" t="s">
        <v>3</v>
      </c>
      <c r="C224" s="15" t="s">
        <v>415</v>
      </c>
      <c r="D224" s="15" t="s">
        <v>109</v>
      </c>
      <c r="E224" s="15" t="s">
        <v>110</v>
      </c>
      <c r="F224" s="15">
        <v>3338</v>
      </c>
      <c r="G224" s="15">
        <v>277</v>
      </c>
      <c r="H224" s="15">
        <v>118</v>
      </c>
      <c r="I224" s="15">
        <v>60084</v>
      </c>
      <c r="J224" s="15">
        <v>59842</v>
      </c>
      <c r="K224" s="15">
        <v>252</v>
      </c>
      <c r="L224" s="15" t="s">
        <v>118</v>
      </c>
      <c r="M224" s="15" t="s">
        <v>82</v>
      </c>
      <c r="N224" s="15">
        <f t="shared" si="3"/>
        <v>3733</v>
      </c>
    </row>
    <row r="225" spans="1:14" x14ac:dyDescent="0.3">
      <c r="A225" s="15" t="s">
        <v>500</v>
      </c>
      <c r="B225" s="15" t="s">
        <v>1</v>
      </c>
      <c r="C225" s="15" t="s">
        <v>501</v>
      </c>
      <c r="D225" s="15" t="s">
        <v>109</v>
      </c>
      <c r="E225" s="15" t="s">
        <v>110</v>
      </c>
      <c r="F225" s="15">
        <v>602</v>
      </c>
      <c r="G225" s="15">
        <v>594</v>
      </c>
      <c r="H225" s="15">
        <v>156</v>
      </c>
      <c r="I225" s="15">
        <v>4214</v>
      </c>
      <c r="J225" s="15">
        <v>3363</v>
      </c>
      <c r="K225" s="15">
        <v>164</v>
      </c>
      <c r="L225" s="15" t="s">
        <v>81</v>
      </c>
      <c r="M225" s="15" t="s">
        <v>99</v>
      </c>
      <c r="N225" s="15">
        <f t="shared" si="3"/>
        <v>1352</v>
      </c>
    </row>
    <row r="226" spans="1:14" x14ac:dyDescent="0.3">
      <c r="A226" s="15" t="s">
        <v>502</v>
      </c>
      <c r="B226" s="15" t="s">
        <v>3</v>
      </c>
      <c r="C226" s="15" t="s">
        <v>430</v>
      </c>
      <c r="D226" s="15" t="s">
        <v>102</v>
      </c>
      <c r="E226" s="15" t="s">
        <v>103</v>
      </c>
      <c r="F226" s="15">
        <v>4672</v>
      </c>
      <c r="G226" s="15">
        <v>325</v>
      </c>
      <c r="H226" s="15">
        <v>32</v>
      </c>
      <c r="I226" s="15">
        <v>88768</v>
      </c>
      <c r="J226" s="15">
        <v>87833</v>
      </c>
      <c r="K226" s="15">
        <v>118</v>
      </c>
      <c r="L226" s="15" t="s">
        <v>187</v>
      </c>
      <c r="M226" s="15" t="s">
        <v>99</v>
      </c>
      <c r="N226" s="15">
        <f t="shared" si="3"/>
        <v>5029</v>
      </c>
    </row>
    <row r="227" spans="1:14" x14ac:dyDescent="0.3">
      <c r="A227" s="15" t="s">
        <v>503</v>
      </c>
      <c r="B227" s="15" t="s">
        <v>2</v>
      </c>
      <c r="C227" s="15" t="s">
        <v>504</v>
      </c>
      <c r="D227" s="15" t="s">
        <v>102</v>
      </c>
      <c r="E227" s="15" t="s">
        <v>103</v>
      </c>
      <c r="F227" s="15">
        <v>1741</v>
      </c>
      <c r="G227" s="15">
        <v>164</v>
      </c>
      <c r="H227" s="15">
        <v>318</v>
      </c>
      <c r="I227" s="15">
        <v>8705</v>
      </c>
      <c r="J227" s="15">
        <v>8272</v>
      </c>
      <c r="K227" s="15">
        <v>121</v>
      </c>
      <c r="L227" s="15" t="s">
        <v>81</v>
      </c>
      <c r="M227" s="15" t="s">
        <v>88</v>
      </c>
      <c r="N227" s="15">
        <f t="shared" si="3"/>
        <v>2223</v>
      </c>
    </row>
    <row r="228" spans="1:14" x14ac:dyDescent="0.3">
      <c r="A228" s="15" t="s">
        <v>505</v>
      </c>
      <c r="B228" s="15" t="s">
        <v>2</v>
      </c>
      <c r="C228" s="15" t="s">
        <v>506</v>
      </c>
      <c r="D228" s="15" t="s">
        <v>85</v>
      </c>
      <c r="E228" s="15" t="s">
        <v>86</v>
      </c>
      <c r="F228" s="15">
        <v>246</v>
      </c>
      <c r="G228" s="15">
        <v>149</v>
      </c>
      <c r="H228" s="15">
        <v>130</v>
      </c>
      <c r="I228" s="15">
        <v>4674</v>
      </c>
      <c r="J228" s="15">
        <v>4390</v>
      </c>
      <c r="K228" s="15">
        <v>217</v>
      </c>
      <c r="L228" s="15" t="s">
        <v>176</v>
      </c>
      <c r="M228" s="15" t="s">
        <v>88</v>
      </c>
      <c r="N228" s="15">
        <f t="shared" si="3"/>
        <v>525</v>
      </c>
    </row>
    <row r="229" spans="1:14" x14ac:dyDescent="0.3">
      <c r="A229" s="15" t="s">
        <v>507</v>
      </c>
      <c r="B229" s="15" t="s">
        <v>2</v>
      </c>
      <c r="C229" s="15" t="s">
        <v>508</v>
      </c>
      <c r="D229" s="15" t="s">
        <v>94</v>
      </c>
      <c r="E229" s="15" t="s">
        <v>95</v>
      </c>
      <c r="F229" s="15">
        <v>4808</v>
      </c>
      <c r="G229" s="15">
        <v>772</v>
      </c>
      <c r="H229" s="15">
        <v>320</v>
      </c>
      <c r="I229" s="15">
        <v>72120</v>
      </c>
      <c r="J229" s="15">
        <v>71696</v>
      </c>
      <c r="K229" s="15">
        <v>195</v>
      </c>
      <c r="L229" s="15" t="s">
        <v>269</v>
      </c>
      <c r="M229" s="15" t="s">
        <v>115</v>
      </c>
      <c r="N229" s="15">
        <f t="shared" si="3"/>
        <v>5900</v>
      </c>
    </row>
    <row r="230" spans="1:14" x14ac:dyDescent="0.3">
      <c r="A230" s="15" t="s">
        <v>509</v>
      </c>
      <c r="B230" s="15" t="s">
        <v>2</v>
      </c>
      <c r="C230" s="15" t="s">
        <v>210</v>
      </c>
      <c r="D230" s="15" t="s">
        <v>102</v>
      </c>
      <c r="E230" s="15" t="s">
        <v>103</v>
      </c>
      <c r="F230" s="15">
        <v>4799</v>
      </c>
      <c r="G230" s="15">
        <v>694</v>
      </c>
      <c r="H230" s="15">
        <v>289</v>
      </c>
      <c r="I230" s="15">
        <v>43191</v>
      </c>
      <c r="J230" s="15">
        <v>42228</v>
      </c>
      <c r="K230" s="15">
        <v>118</v>
      </c>
      <c r="L230" s="15" t="s">
        <v>104</v>
      </c>
      <c r="M230" s="15" t="s">
        <v>88</v>
      </c>
      <c r="N230" s="15">
        <f t="shared" si="3"/>
        <v>5782</v>
      </c>
    </row>
    <row r="231" spans="1:14" x14ac:dyDescent="0.3">
      <c r="A231" s="15" t="s">
        <v>510</v>
      </c>
      <c r="B231" s="15" t="s">
        <v>1</v>
      </c>
      <c r="C231" s="15" t="s">
        <v>372</v>
      </c>
      <c r="D231" s="15" t="s">
        <v>79</v>
      </c>
      <c r="E231" s="15" t="s">
        <v>80</v>
      </c>
      <c r="F231" s="15">
        <v>3663</v>
      </c>
      <c r="G231" s="15">
        <v>17</v>
      </c>
      <c r="H231" s="15">
        <v>295</v>
      </c>
      <c r="I231" s="15">
        <v>51282</v>
      </c>
      <c r="J231" s="15">
        <v>50567</v>
      </c>
      <c r="K231" s="15">
        <v>84</v>
      </c>
      <c r="L231" s="15" t="s">
        <v>81</v>
      </c>
      <c r="M231" s="15" t="s">
        <v>82</v>
      </c>
      <c r="N231" s="15">
        <f t="shared" si="3"/>
        <v>3975</v>
      </c>
    </row>
    <row r="232" spans="1:14" x14ac:dyDescent="0.3">
      <c r="A232" s="15" t="s">
        <v>511</v>
      </c>
      <c r="B232" s="15" t="s">
        <v>2</v>
      </c>
      <c r="C232" s="15" t="s">
        <v>487</v>
      </c>
      <c r="D232" s="15" t="s">
        <v>85</v>
      </c>
      <c r="E232" s="15" t="s">
        <v>86</v>
      </c>
      <c r="F232" s="15">
        <v>1430</v>
      </c>
      <c r="G232" s="15">
        <v>376</v>
      </c>
      <c r="H232" s="15">
        <v>33</v>
      </c>
      <c r="I232" s="15">
        <v>21450</v>
      </c>
      <c r="J232" s="15">
        <v>20509</v>
      </c>
      <c r="K232" s="15">
        <v>251</v>
      </c>
      <c r="L232" s="15" t="s">
        <v>137</v>
      </c>
      <c r="M232" s="15" t="s">
        <v>99</v>
      </c>
      <c r="N232" s="15">
        <f t="shared" si="3"/>
        <v>1839</v>
      </c>
    </row>
    <row r="233" spans="1:14" x14ac:dyDescent="0.3">
      <c r="A233" s="15" t="s">
        <v>512</v>
      </c>
      <c r="B233" s="15" t="s">
        <v>3</v>
      </c>
      <c r="C233" s="15" t="s">
        <v>513</v>
      </c>
      <c r="D233" s="15" t="s">
        <v>94</v>
      </c>
      <c r="E233" s="15" t="s">
        <v>95</v>
      </c>
      <c r="F233" s="15">
        <v>249</v>
      </c>
      <c r="G233" s="15">
        <v>592</v>
      </c>
      <c r="H233" s="15">
        <v>230</v>
      </c>
      <c r="I233" s="15">
        <v>1494</v>
      </c>
      <c r="J233" s="15">
        <v>1044</v>
      </c>
      <c r="K233" s="15">
        <v>201</v>
      </c>
      <c r="L233" s="15" t="s">
        <v>345</v>
      </c>
      <c r="M233" s="15" t="s">
        <v>115</v>
      </c>
      <c r="N233" s="15">
        <f t="shared" si="3"/>
        <v>1071</v>
      </c>
    </row>
    <row r="234" spans="1:14" x14ac:dyDescent="0.3">
      <c r="A234" s="15" t="s">
        <v>514</v>
      </c>
      <c r="B234" s="15" t="s">
        <v>1</v>
      </c>
      <c r="C234" s="15" t="s">
        <v>191</v>
      </c>
      <c r="D234" s="15" t="s">
        <v>109</v>
      </c>
      <c r="E234" s="15" t="s">
        <v>110</v>
      </c>
      <c r="F234" s="15">
        <v>2382</v>
      </c>
      <c r="G234" s="15">
        <v>265</v>
      </c>
      <c r="H234" s="15">
        <v>134</v>
      </c>
      <c r="I234" s="15">
        <v>38112</v>
      </c>
      <c r="J234" s="15">
        <v>37437</v>
      </c>
      <c r="K234" s="15">
        <v>249</v>
      </c>
      <c r="L234" s="15" t="s">
        <v>238</v>
      </c>
      <c r="M234" s="15" t="s">
        <v>88</v>
      </c>
      <c r="N234" s="15">
        <f t="shared" si="3"/>
        <v>2781</v>
      </c>
    </row>
    <row r="235" spans="1:14" x14ac:dyDescent="0.3">
      <c r="A235" s="15" t="s">
        <v>515</v>
      </c>
      <c r="B235" s="15" t="s">
        <v>1</v>
      </c>
      <c r="C235" s="15" t="s">
        <v>516</v>
      </c>
      <c r="D235" s="15" t="s">
        <v>85</v>
      </c>
      <c r="E235" s="15" t="s">
        <v>86</v>
      </c>
      <c r="F235" s="15">
        <v>1272</v>
      </c>
      <c r="G235" s="15">
        <v>465</v>
      </c>
      <c r="H235" s="15">
        <v>99</v>
      </c>
      <c r="I235" s="15">
        <v>24168</v>
      </c>
      <c r="J235" s="15">
        <v>23719</v>
      </c>
      <c r="K235" s="15">
        <v>42</v>
      </c>
      <c r="L235" s="15" t="s">
        <v>131</v>
      </c>
      <c r="M235" s="15" t="s">
        <v>88</v>
      </c>
      <c r="N235" s="15">
        <f t="shared" si="3"/>
        <v>1836</v>
      </c>
    </row>
    <row r="236" spans="1:14" x14ac:dyDescent="0.3">
      <c r="A236" s="15" t="s">
        <v>517</v>
      </c>
      <c r="B236" s="15" t="s">
        <v>1</v>
      </c>
      <c r="C236" s="15" t="s">
        <v>447</v>
      </c>
      <c r="D236" s="15" t="s">
        <v>109</v>
      </c>
      <c r="E236" s="15" t="s">
        <v>110</v>
      </c>
      <c r="F236" s="15">
        <v>3196</v>
      </c>
      <c r="G236" s="15">
        <v>941</v>
      </c>
      <c r="H236" s="15">
        <v>376</v>
      </c>
      <c r="I236" s="15">
        <v>35156</v>
      </c>
      <c r="J236" s="15">
        <v>34444</v>
      </c>
      <c r="K236" s="15">
        <v>241</v>
      </c>
      <c r="L236" s="15" t="s">
        <v>147</v>
      </c>
      <c r="M236" s="15" t="s">
        <v>115</v>
      </c>
      <c r="N236" s="15">
        <f t="shared" si="3"/>
        <v>4513</v>
      </c>
    </row>
    <row r="237" spans="1:14" x14ac:dyDescent="0.3">
      <c r="A237" s="15" t="s">
        <v>518</v>
      </c>
      <c r="B237" s="15" t="s">
        <v>1</v>
      </c>
      <c r="C237" s="15" t="s">
        <v>139</v>
      </c>
      <c r="D237" s="15" t="s">
        <v>85</v>
      </c>
      <c r="E237" s="15" t="s">
        <v>86</v>
      </c>
      <c r="F237" s="15">
        <v>1257</v>
      </c>
      <c r="G237" s="15">
        <v>19</v>
      </c>
      <c r="H237" s="15">
        <v>351</v>
      </c>
      <c r="I237" s="15">
        <v>12570</v>
      </c>
      <c r="J237" s="15">
        <v>11660</v>
      </c>
      <c r="K237" s="15">
        <v>194</v>
      </c>
      <c r="L237" s="15" t="s">
        <v>118</v>
      </c>
      <c r="M237" s="15" t="s">
        <v>82</v>
      </c>
      <c r="N237" s="15">
        <f t="shared" si="3"/>
        <v>1627</v>
      </c>
    </row>
    <row r="238" spans="1:14" x14ac:dyDescent="0.3">
      <c r="A238" s="15" t="s">
        <v>519</v>
      </c>
      <c r="B238" s="15" t="s">
        <v>2</v>
      </c>
      <c r="C238" s="15" t="s">
        <v>396</v>
      </c>
      <c r="D238" s="15" t="s">
        <v>94</v>
      </c>
      <c r="E238" s="15" t="s">
        <v>95</v>
      </c>
      <c r="F238" s="15">
        <v>3770</v>
      </c>
      <c r="G238" s="15">
        <v>917</v>
      </c>
      <c r="H238" s="15">
        <v>129</v>
      </c>
      <c r="I238" s="15">
        <v>71630</v>
      </c>
      <c r="J238" s="15">
        <v>71322</v>
      </c>
      <c r="K238" s="15">
        <v>76</v>
      </c>
      <c r="L238" s="15" t="s">
        <v>162</v>
      </c>
      <c r="M238" s="15" t="s">
        <v>115</v>
      </c>
      <c r="N238" s="15">
        <f t="shared" si="3"/>
        <v>4816</v>
      </c>
    </row>
    <row r="239" spans="1:14" x14ac:dyDescent="0.3">
      <c r="A239" s="15" t="s">
        <v>520</v>
      </c>
      <c r="B239" s="15" t="s">
        <v>3</v>
      </c>
      <c r="C239" s="15" t="s">
        <v>521</v>
      </c>
      <c r="D239" s="15" t="s">
        <v>85</v>
      </c>
      <c r="E239" s="15" t="s">
        <v>86</v>
      </c>
      <c r="F239" s="15">
        <v>4725</v>
      </c>
      <c r="G239" s="15">
        <v>400</v>
      </c>
      <c r="H239" s="15">
        <v>362</v>
      </c>
      <c r="I239" s="15">
        <v>75600</v>
      </c>
      <c r="J239" s="15">
        <v>74927</v>
      </c>
      <c r="K239" s="15">
        <v>43</v>
      </c>
      <c r="L239" s="15" t="s">
        <v>165</v>
      </c>
      <c r="M239" s="15" t="s">
        <v>82</v>
      </c>
      <c r="N239" s="15">
        <f t="shared" si="3"/>
        <v>5487</v>
      </c>
    </row>
    <row r="240" spans="1:14" x14ac:dyDescent="0.3">
      <c r="A240" s="15" t="s">
        <v>522</v>
      </c>
      <c r="B240" s="15" t="s">
        <v>4</v>
      </c>
      <c r="C240" s="15" t="s">
        <v>203</v>
      </c>
      <c r="D240" s="15" t="s">
        <v>85</v>
      </c>
      <c r="E240" s="15" t="s">
        <v>86</v>
      </c>
      <c r="F240" s="15">
        <v>4188</v>
      </c>
      <c r="G240" s="15">
        <v>942</v>
      </c>
      <c r="H240" s="15">
        <v>118</v>
      </c>
      <c r="I240" s="15">
        <v>20940</v>
      </c>
      <c r="J240" s="15">
        <v>20471</v>
      </c>
      <c r="K240" s="15">
        <v>102</v>
      </c>
      <c r="L240" s="15" t="s">
        <v>118</v>
      </c>
      <c r="M240" s="15" t="s">
        <v>88</v>
      </c>
      <c r="N240" s="15">
        <f t="shared" si="3"/>
        <v>5248</v>
      </c>
    </row>
    <row r="241" spans="1:14" x14ac:dyDescent="0.3">
      <c r="A241" s="15" t="s">
        <v>523</v>
      </c>
      <c r="B241" s="15" t="s">
        <v>3</v>
      </c>
      <c r="C241" s="15" t="s">
        <v>133</v>
      </c>
      <c r="D241" s="15" t="s">
        <v>102</v>
      </c>
      <c r="E241" s="15" t="s">
        <v>103</v>
      </c>
      <c r="F241" s="15">
        <v>929</v>
      </c>
      <c r="G241" s="15">
        <v>192</v>
      </c>
      <c r="H241" s="15">
        <v>322</v>
      </c>
      <c r="I241" s="15">
        <v>16722</v>
      </c>
      <c r="J241" s="15">
        <v>15996</v>
      </c>
      <c r="K241" s="15">
        <v>145</v>
      </c>
      <c r="L241" s="15" t="s">
        <v>87</v>
      </c>
      <c r="M241" s="15" t="s">
        <v>99</v>
      </c>
      <c r="N241" s="15">
        <f t="shared" si="3"/>
        <v>1443</v>
      </c>
    </row>
    <row r="242" spans="1:14" x14ac:dyDescent="0.3">
      <c r="A242" s="15" t="s">
        <v>524</v>
      </c>
      <c r="B242" s="15" t="s">
        <v>1</v>
      </c>
      <c r="C242" s="15" t="s">
        <v>525</v>
      </c>
      <c r="D242" s="15" t="s">
        <v>94</v>
      </c>
      <c r="E242" s="15" t="s">
        <v>95</v>
      </c>
      <c r="F242" s="15">
        <v>4321</v>
      </c>
      <c r="G242" s="15">
        <v>874</v>
      </c>
      <c r="H242" s="15">
        <v>172</v>
      </c>
      <c r="I242" s="15">
        <v>30247</v>
      </c>
      <c r="J242" s="15">
        <v>29254</v>
      </c>
      <c r="K242" s="15">
        <v>122</v>
      </c>
      <c r="L242" s="15" t="s">
        <v>126</v>
      </c>
      <c r="M242" s="15" t="s">
        <v>99</v>
      </c>
      <c r="N242" s="15">
        <f t="shared" si="3"/>
        <v>5367</v>
      </c>
    </row>
    <row r="243" spans="1:14" x14ac:dyDescent="0.3">
      <c r="A243" s="15" t="s">
        <v>526</v>
      </c>
      <c r="B243" s="15" t="s">
        <v>1</v>
      </c>
      <c r="C243" s="15" t="s">
        <v>283</v>
      </c>
      <c r="D243" s="15" t="s">
        <v>79</v>
      </c>
      <c r="E243" s="15" t="s">
        <v>80</v>
      </c>
      <c r="F243" s="15">
        <v>4767</v>
      </c>
      <c r="G243" s="15">
        <v>190</v>
      </c>
      <c r="H243" s="15">
        <v>340</v>
      </c>
      <c r="I243" s="15">
        <v>28602</v>
      </c>
      <c r="J243" s="15">
        <v>28044</v>
      </c>
      <c r="K243" s="15">
        <v>210</v>
      </c>
      <c r="L243" s="15" t="s">
        <v>137</v>
      </c>
      <c r="M243" s="15" t="s">
        <v>115</v>
      </c>
      <c r="N243" s="15">
        <f t="shared" si="3"/>
        <v>5297</v>
      </c>
    </row>
    <row r="244" spans="1:14" x14ac:dyDescent="0.3">
      <c r="A244" s="15" t="s">
        <v>527</v>
      </c>
      <c r="B244" s="15" t="s">
        <v>3</v>
      </c>
      <c r="C244" s="15" t="s">
        <v>528</v>
      </c>
      <c r="D244" s="15" t="s">
        <v>109</v>
      </c>
      <c r="E244" s="15" t="s">
        <v>110</v>
      </c>
      <c r="F244" s="15">
        <v>3592</v>
      </c>
      <c r="G244" s="15">
        <v>911</v>
      </c>
      <c r="H244" s="15">
        <v>375</v>
      </c>
      <c r="I244" s="15">
        <v>50288</v>
      </c>
      <c r="J244" s="15">
        <v>49490</v>
      </c>
      <c r="K244" s="15">
        <v>32</v>
      </c>
      <c r="L244" s="15" t="s">
        <v>118</v>
      </c>
      <c r="M244" s="15" t="s">
        <v>88</v>
      </c>
      <c r="N244" s="15">
        <f t="shared" si="3"/>
        <v>4878</v>
      </c>
    </row>
    <row r="245" spans="1:14" x14ac:dyDescent="0.3">
      <c r="A245" s="15" t="s">
        <v>529</v>
      </c>
      <c r="B245" s="15" t="s">
        <v>4</v>
      </c>
      <c r="C245" s="15" t="s">
        <v>530</v>
      </c>
      <c r="D245" s="15" t="s">
        <v>129</v>
      </c>
      <c r="E245" s="15" t="s">
        <v>130</v>
      </c>
      <c r="F245" s="15">
        <v>4661</v>
      </c>
      <c r="G245" s="15">
        <v>935</v>
      </c>
      <c r="H245" s="15">
        <v>433</v>
      </c>
      <c r="I245" s="15">
        <v>23305</v>
      </c>
      <c r="J245" s="15">
        <v>22583</v>
      </c>
      <c r="K245" s="15">
        <v>63</v>
      </c>
      <c r="L245" s="15" t="s">
        <v>222</v>
      </c>
      <c r="M245" s="15" t="s">
        <v>82</v>
      </c>
      <c r="N245" s="15">
        <f t="shared" si="3"/>
        <v>6029</v>
      </c>
    </row>
    <row r="246" spans="1:14" x14ac:dyDescent="0.3">
      <c r="A246" s="15" t="s">
        <v>531</v>
      </c>
      <c r="B246" s="15" t="s">
        <v>1</v>
      </c>
      <c r="C246" s="15" t="s">
        <v>532</v>
      </c>
      <c r="D246" s="15" t="s">
        <v>79</v>
      </c>
      <c r="E246" s="15" t="s">
        <v>80</v>
      </c>
      <c r="F246" s="15">
        <v>4134</v>
      </c>
      <c r="G246" s="15">
        <v>824</v>
      </c>
      <c r="H246" s="15">
        <v>99</v>
      </c>
      <c r="I246" s="15">
        <v>41340</v>
      </c>
      <c r="J246" s="15">
        <v>41050</v>
      </c>
      <c r="K246" s="15">
        <v>177</v>
      </c>
      <c r="L246" s="15" t="s">
        <v>87</v>
      </c>
      <c r="M246" s="15" t="s">
        <v>88</v>
      </c>
      <c r="N246" s="15">
        <f t="shared" si="3"/>
        <v>5057</v>
      </c>
    </row>
    <row r="247" spans="1:14" x14ac:dyDescent="0.3">
      <c r="A247" s="15" t="s">
        <v>533</v>
      </c>
      <c r="B247" s="15" t="s">
        <v>1</v>
      </c>
      <c r="C247" s="15" t="s">
        <v>534</v>
      </c>
      <c r="D247" s="15" t="s">
        <v>109</v>
      </c>
      <c r="E247" s="15" t="s">
        <v>110</v>
      </c>
      <c r="F247" s="15">
        <v>400</v>
      </c>
      <c r="G247" s="15">
        <v>680</v>
      </c>
      <c r="H247" s="15">
        <v>434</v>
      </c>
      <c r="I247" s="15">
        <v>6400</v>
      </c>
      <c r="J247" s="15">
        <v>5472</v>
      </c>
      <c r="K247" s="15">
        <v>160</v>
      </c>
      <c r="L247" s="15" t="s">
        <v>162</v>
      </c>
      <c r="M247" s="15" t="s">
        <v>88</v>
      </c>
      <c r="N247" s="15">
        <f t="shared" si="3"/>
        <v>1514</v>
      </c>
    </row>
    <row r="248" spans="1:14" x14ac:dyDescent="0.3">
      <c r="A248" s="15" t="s">
        <v>535</v>
      </c>
      <c r="B248" s="15" t="s">
        <v>1</v>
      </c>
      <c r="C248" s="15" t="s">
        <v>536</v>
      </c>
      <c r="D248" s="15" t="s">
        <v>79</v>
      </c>
      <c r="E248" s="15" t="s">
        <v>80</v>
      </c>
      <c r="F248" s="15">
        <v>3960</v>
      </c>
      <c r="G248" s="15">
        <v>266</v>
      </c>
      <c r="H248" s="15">
        <v>8</v>
      </c>
      <c r="I248" s="15">
        <v>35640</v>
      </c>
      <c r="J248" s="15">
        <v>34850</v>
      </c>
      <c r="K248" s="15">
        <v>208</v>
      </c>
      <c r="L248" s="15" t="s">
        <v>165</v>
      </c>
      <c r="M248" s="15" t="s">
        <v>115</v>
      </c>
      <c r="N248" s="15">
        <f t="shared" si="3"/>
        <v>4234</v>
      </c>
    </row>
    <row r="249" spans="1:14" x14ac:dyDescent="0.3">
      <c r="A249" s="15" t="s">
        <v>537</v>
      </c>
      <c r="B249" s="15" t="s">
        <v>1</v>
      </c>
      <c r="C249" s="15" t="s">
        <v>117</v>
      </c>
      <c r="D249" s="15" t="s">
        <v>94</v>
      </c>
      <c r="E249" s="15" t="s">
        <v>95</v>
      </c>
      <c r="F249" s="15">
        <v>886</v>
      </c>
      <c r="G249" s="15">
        <v>126</v>
      </c>
      <c r="H249" s="15">
        <v>153</v>
      </c>
      <c r="I249" s="15">
        <v>4430</v>
      </c>
      <c r="J249" s="15">
        <v>4037</v>
      </c>
      <c r="K249" s="15">
        <v>212</v>
      </c>
      <c r="L249" s="15" t="s">
        <v>81</v>
      </c>
      <c r="M249" s="15" t="s">
        <v>99</v>
      </c>
      <c r="N249" s="15">
        <f t="shared" si="3"/>
        <v>1165</v>
      </c>
    </row>
    <row r="250" spans="1:14" x14ac:dyDescent="0.3">
      <c r="A250" s="15" t="s">
        <v>538</v>
      </c>
      <c r="B250" s="15" t="s">
        <v>3</v>
      </c>
      <c r="C250" s="15" t="s">
        <v>484</v>
      </c>
      <c r="D250" s="15" t="s">
        <v>109</v>
      </c>
      <c r="E250" s="15" t="s">
        <v>110</v>
      </c>
      <c r="F250" s="15">
        <v>827</v>
      </c>
      <c r="G250" s="15">
        <v>77</v>
      </c>
      <c r="H250" s="15">
        <v>402</v>
      </c>
      <c r="I250" s="15">
        <v>14886</v>
      </c>
      <c r="J250" s="15">
        <v>14129</v>
      </c>
      <c r="K250" s="15">
        <v>254</v>
      </c>
      <c r="L250" s="15" t="s">
        <v>118</v>
      </c>
      <c r="M250" s="15" t="s">
        <v>88</v>
      </c>
      <c r="N250" s="15">
        <f t="shared" si="3"/>
        <v>1306</v>
      </c>
    </row>
    <row r="251" spans="1:14" x14ac:dyDescent="0.3">
      <c r="A251" s="15" t="s">
        <v>539</v>
      </c>
      <c r="B251" s="15" t="s">
        <v>1</v>
      </c>
      <c r="C251" s="15" t="s">
        <v>228</v>
      </c>
      <c r="D251" s="15" t="s">
        <v>79</v>
      </c>
      <c r="E251" s="15" t="s">
        <v>80</v>
      </c>
      <c r="F251" s="15">
        <v>3813</v>
      </c>
      <c r="G251" s="15">
        <v>935</v>
      </c>
      <c r="H251" s="15">
        <v>274</v>
      </c>
      <c r="I251" s="15">
        <v>68634</v>
      </c>
      <c r="J251" s="15">
        <v>68488</v>
      </c>
      <c r="K251" s="15">
        <v>251</v>
      </c>
      <c r="L251" s="15" t="s">
        <v>238</v>
      </c>
      <c r="M251" s="15" t="s">
        <v>82</v>
      </c>
      <c r="N251" s="15">
        <f t="shared" si="3"/>
        <v>5022</v>
      </c>
    </row>
    <row r="252" spans="1:14" x14ac:dyDescent="0.3">
      <c r="A252" s="15" t="s">
        <v>540</v>
      </c>
      <c r="B252" s="15" t="s">
        <v>2</v>
      </c>
      <c r="C252" s="15" t="s">
        <v>541</v>
      </c>
      <c r="D252" s="15" t="s">
        <v>102</v>
      </c>
      <c r="E252" s="15" t="s">
        <v>103</v>
      </c>
      <c r="F252" s="15">
        <v>1377</v>
      </c>
      <c r="G252" s="15">
        <v>796</v>
      </c>
      <c r="H252" s="15">
        <v>387</v>
      </c>
      <c r="I252" s="15">
        <v>22032</v>
      </c>
      <c r="J252" s="15">
        <v>21869</v>
      </c>
      <c r="K252" s="15">
        <v>189</v>
      </c>
      <c r="L252" s="15" t="s">
        <v>204</v>
      </c>
      <c r="M252" s="15" t="s">
        <v>99</v>
      </c>
      <c r="N252" s="15">
        <f t="shared" si="3"/>
        <v>2560</v>
      </c>
    </row>
    <row r="253" spans="1:14" x14ac:dyDescent="0.3">
      <c r="A253" s="15" t="s">
        <v>542</v>
      </c>
      <c r="B253" s="15" t="s">
        <v>1</v>
      </c>
      <c r="C253" s="15" t="s">
        <v>419</v>
      </c>
      <c r="D253" s="15" t="s">
        <v>102</v>
      </c>
      <c r="E253" s="15" t="s">
        <v>103</v>
      </c>
      <c r="F253" s="15">
        <v>2089</v>
      </c>
      <c r="G253" s="15">
        <v>476</v>
      </c>
      <c r="H253" s="15">
        <v>69</v>
      </c>
      <c r="I253" s="15">
        <v>16712</v>
      </c>
      <c r="J253" s="15">
        <v>16309</v>
      </c>
      <c r="K253" s="15">
        <v>64</v>
      </c>
      <c r="L253" s="15" t="s">
        <v>121</v>
      </c>
      <c r="M253" s="15" t="s">
        <v>82</v>
      </c>
      <c r="N253" s="15">
        <f t="shared" si="3"/>
        <v>2634</v>
      </c>
    </row>
    <row r="254" spans="1:14" x14ac:dyDescent="0.3">
      <c r="A254" s="15" t="s">
        <v>543</v>
      </c>
      <c r="B254" s="15" t="s">
        <v>3</v>
      </c>
      <c r="C254" s="15" t="s">
        <v>544</v>
      </c>
      <c r="D254" s="15" t="s">
        <v>79</v>
      </c>
      <c r="E254" s="15" t="s">
        <v>80</v>
      </c>
      <c r="F254" s="15">
        <v>3791</v>
      </c>
      <c r="G254" s="15">
        <v>593</v>
      </c>
      <c r="H254" s="15">
        <v>228</v>
      </c>
      <c r="I254" s="15">
        <v>53074</v>
      </c>
      <c r="J254" s="15">
        <v>52613</v>
      </c>
      <c r="K254" s="15">
        <v>205</v>
      </c>
      <c r="L254" s="15" t="s">
        <v>222</v>
      </c>
      <c r="M254" s="15" t="s">
        <v>82</v>
      </c>
      <c r="N254" s="15">
        <f t="shared" si="3"/>
        <v>4612</v>
      </c>
    </row>
    <row r="255" spans="1:14" x14ac:dyDescent="0.3">
      <c r="A255" s="15" t="s">
        <v>545</v>
      </c>
      <c r="B255" s="15" t="s">
        <v>3</v>
      </c>
      <c r="C255" s="15" t="s">
        <v>546</v>
      </c>
      <c r="D255" s="15" t="s">
        <v>109</v>
      </c>
      <c r="E255" s="15" t="s">
        <v>110</v>
      </c>
      <c r="F255" s="15">
        <v>2692</v>
      </c>
      <c r="G255" s="15">
        <v>115</v>
      </c>
      <c r="H255" s="15">
        <v>64</v>
      </c>
      <c r="I255" s="15">
        <v>21536</v>
      </c>
      <c r="J255" s="15">
        <v>21120</v>
      </c>
      <c r="K255" s="15">
        <v>224</v>
      </c>
      <c r="L255" s="15" t="s">
        <v>238</v>
      </c>
      <c r="M255" s="15" t="s">
        <v>115</v>
      </c>
      <c r="N255" s="15">
        <f t="shared" si="3"/>
        <v>2871</v>
      </c>
    </row>
    <row r="256" spans="1:14" x14ac:dyDescent="0.3">
      <c r="A256" s="15" t="s">
        <v>547</v>
      </c>
      <c r="B256" s="15" t="s">
        <v>1</v>
      </c>
      <c r="C256" s="15" t="s">
        <v>84</v>
      </c>
      <c r="D256" s="15" t="s">
        <v>94</v>
      </c>
      <c r="E256" s="15" t="s">
        <v>95</v>
      </c>
      <c r="F256" s="15">
        <v>3767</v>
      </c>
      <c r="G256" s="15">
        <v>514</v>
      </c>
      <c r="H256" s="15">
        <v>238</v>
      </c>
      <c r="I256" s="15">
        <v>37670</v>
      </c>
      <c r="J256" s="15">
        <v>36807</v>
      </c>
      <c r="K256" s="15">
        <v>226</v>
      </c>
      <c r="L256" s="15" t="s">
        <v>222</v>
      </c>
      <c r="M256" s="15" t="s">
        <v>82</v>
      </c>
      <c r="N256" s="15">
        <f t="shared" si="3"/>
        <v>4519</v>
      </c>
    </row>
    <row r="257" spans="1:14" x14ac:dyDescent="0.3">
      <c r="A257" s="15" t="s">
        <v>548</v>
      </c>
      <c r="B257" s="15" t="s">
        <v>4</v>
      </c>
      <c r="C257" s="15" t="s">
        <v>307</v>
      </c>
      <c r="D257" s="15" t="s">
        <v>102</v>
      </c>
      <c r="E257" s="15" t="s">
        <v>103</v>
      </c>
      <c r="F257" s="15">
        <v>2143</v>
      </c>
      <c r="G257" s="15">
        <v>12</v>
      </c>
      <c r="H257" s="15">
        <v>204</v>
      </c>
      <c r="I257" s="15">
        <v>40717</v>
      </c>
      <c r="J257" s="15">
        <v>40125</v>
      </c>
      <c r="K257" s="15">
        <v>248</v>
      </c>
      <c r="L257" s="15" t="s">
        <v>187</v>
      </c>
      <c r="M257" s="15" t="s">
        <v>115</v>
      </c>
      <c r="N257" s="15">
        <f t="shared" si="3"/>
        <v>2359</v>
      </c>
    </row>
    <row r="258" spans="1:14" x14ac:dyDescent="0.3">
      <c r="A258" s="15" t="s">
        <v>549</v>
      </c>
      <c r="B258" s="15" t="s">
        <v>1</v>
      </c>
      <c r="C258" s="15" t="s">
        <v>348</v>
      </c>
      <c r="D258" s="15" t="s">
        <v>109</v>
      </c>
      <c r="E258" s="15" t="s">
        <v>110</v>
      </c>
      <c r="F258" s="15">
        <v>3090</v>
      </c>
      <c r="G258" s="15">
        <v>697</v>
      </c>
      <c r="H258" s="15">
        <v>164</v>
      </c>
      <c r="I258" s="15">
        <v>49440</v>
      </c>
      <c r="J258" s="15">
        <v>48524</v>
      </c>
      <c r="K258" s="15">
        <v>25</v>
      </c>
      <c r="L258" s="15" t="s">
        <v>324</v>
      </c>
      <c r="M258" s="15" t="s">
        <v>115</v>
      </c>
      <c r="N258" s="15">
        <f t="shared" si="3"/>
        <v>3951</v>
      </c>
    </row>
    <row r="259" spans="1:14" x14ac:dyDescent="0.3">
      <c r="A259" s="15" t="s">
        <v>550</v>
      </c>
      <c r="B259" s="15" t="s">
        <v>2</v>
      </c>
      <c r="C259" s="15" t="s">
        <v>551</v>
      </c>
      <c r="D259" s="15" t="s">
        <v>94</v>
      </c>
      <c r="E259" s="15" t="s">
        <v>95</v>
      </c>
      <c r="F259" s="15">
        <v>3601</v>
      </c>
      <c r="G259" s="15">
        <v>695</v>
      </c>
      <c r="H259" s="15">
        <v>75</v>
      </c>
      <c r="I259" s="15">
        <v>21606</v>
      </c>
      <c r="J259" s="15">
        <v>21454</v>
      </c>
      <c r="K259" s="15">
        <v>172</v>
      </c>
      <c r="L259" s="15" t="s">
        <v>118</v>
      </c>
      <c r="M259" s="15" t="s">
        <v>88</v>
      </c>
      <c r="N259" s="15">
        <f t="shared" ref="N259:N301" si="4">SUM(F259,G259,H259)</f>
        <v>4371</v>
      </c>
    </row>
    <row r="260" spans="1:14" x14ac:dyDescent="0.3">
      <c r="A260" s="15" t="s">
        <v>552</v>
      </c>
      <c r="B260" s="15" t="s">
        <v>1</v>
      </c>
      <c r="C260" s="15" t="s">
        <v>304</v>
      </c>
      <c r="D260" s="15" t="s">
        <v>85</v>
      </c>
      <c r="E260" s="15" t="s">
        <v>86</v>
      </c>
      <c r="F260" s="15">
        <v>562</v>
      </c>
      <c r="G260" s="15">
        <v>158</v>
      </c>
      <c r="H260" s="15">
        <v>149</v>
      </c>
      <c r="I260" s="15">
        <v>3372</v>
      </c>
      <c r="J260" s="15">
        <v>2940</v>
      </c>
      <c r="K260" s="15">
        <v>93</v>
      </c>
      <c r="L260" s="15" t="s">
        <v>187</v>
      </c>
      <c r="M260" s="15" t="s">
        <v>115</v>
      </c>
      <c r="N260" s="15">
        <f t="shared" si="4"/>
        <v>869</v>
      </c>
    </row>
    <row r="261" spans="1:14" x14ac:dyDescent="0.3">
      <c r="A261" s="15" t="s">
        <v>553</v>
      </c>
      <c r="B261" s="15" t="s">
        <v>2</v>
      </c>
      <c r="C261" s="15" t="s">
        <v>554</v>
      </c>
      <c r="D261" s="15" t="s">
        <v>94</v>
      </c>
      <c r="E261" s="15" t="s">
        <v>95</v>
      </c>
      <c r="F261" s="15">
        <v>4332</v>
      </c>
      <c r="G261" s="15">
        <v>771</v>
      </c>
      <c r="H261" s="15">
        <v>219</v>
      </c>
      <c r="I261" s="15">
        <v>60648</v>
      </c>
      <c r="J261" s="15">
        <v>60397</v>
      </c>
      <c r="K261" s="15">
        <v>10</v>
      </c>
      <c r="L261" s="15" t="s">
        <v>87</v>
      </c>
      <c r="M261" s="15" t="s">
        <v>99</v>
      </c>
      <c r="N261" s="15">
        <f t="shared" si="4"/>
        <v>5322</v>
      </c>
    </row>
    <row r="262" spans="1:14" x14ac:dyDescent="0.3">
      <c r="A262" s="15" t="s">
        <v>555</v>
      </c>
      <c r="B262" s="15" t="s">
        <v>2</v>
      </c>
      <c r="C262" s="15" t="s">
        <v>556</v>
      </c>
      <c r="D262" s="15" t="s">
        <v>109</v>
      </c>
      <c r="E262" s="15" t="s">
        <v>110</v>
      </c>
      <c r="F262" s="15">
        <v>4853</v>
      </c>
      <c r="G262" s="15">
        <v>837</v>
      </c>
      <c r="H262" s="15">
        <v>340</v>
      </c>
      <c r="I262" s="15">
        <v>72795</v>
      </c>
      <c r="J262" s="15">
        <v>72237</v>
      </c>
      <c r="K262" s="15">
        <v>170</v>
      </c>
      <c r="L262" s="15" t="s">
        <v>81</v>
      </c>
      <c r="M262" s="15" t="s">
        <v>88</v>
      </c>
      <c r="N262" s="15">
        <f t="shared" si="4"/>
        <v>6030</v>
      </c>
    </row>
    <row r="263" spans="1:14" x14ac:dyDescent="0.3">
      <c r="A263" s="15" t="s">
        <v>557</v>
      </c>
      <c r="B263" s="15" t="s">
        <v>4</v>
      </c>
      <c r="C263" s="15" t="s">
        <v>525</v>
      </c>
      <c r="D263" s="15" t="s">
        <v>109</v>
      </c>
      <c r="E263" s="15" t="s">
        <v>110</v>
      </c>
      <c r="F263" s="15">
        <v>1206</v>
      </c>
      <c r="G263" s="15">
        <v>238</v>
      </c>
      <c r="H263" s="15">
        <v>36</v>
      </c>
      <c r="I263" s="15">
        <v>9648</v>
      </c>
      <c r="J263" s="15">
        <v>9417</v>
      </c>
      <c r="K263" s="15">
        <v>237</v>
      </c>
      <c r="L263" s="15" t="s">
        <v>142</v>
      </c>
      <c r="M263" s="15" t="s">
        <v>99</v>
      </c>
      <c r="N263" s="15">
        <f t="shared" si="4"/>
        <v>1480</v>
      </c>
    </row>
    <row r="264" spans="1:14" x14ac:dyDescent="0.3">
      <c r="A264" s="15" t="s">
        <v>558</v>
      </c>
      <c r="B264" s="15" t="s">
        <v>2</v>
      </c>
      <c r="C264" s="15" t="s">
        <v>559</v>
      </c>
      <c r="D264" s="15" t="s">
        <v>79</v>
      </c>
      <c r="E264" s="15" t="s">
        <v>80</v>
      </c>
      <c r="F264" s="15">
        <v>2603</v>
      </c>
      <c r="G264" s="15">
        <v>690</v>
      </c>
      <c r="H264" s="15">
        <v>205</v>
      </c>
      <c r="I264" s="15">
        <v>13015</v>
      </c>
      <c r="J264" s="15">
        <v>12130</v>
      </c>
      <c r="K264" s="15">
        <v>20</v>
      </c>
      <c r="L264" s="15" t="s">
        <v>104</v>
      </c>
      <c r="M264" s="15" t="s">
        <v>82</v>
      </c>
      <c r="N264" s="15">
        <f t="shared" si="4"/>
        <v>3498</v>
      </c>
    </row>
    <row r="265" spans="1:14" x14ac:dyDescent="0.3">
      <c r="A265" s="15" t="s">
        <v>560</v>
      </c>
      <c r="B265" s="15" t="s">
        <v>3</v>
      </c>
      <c r="C265" s="15" t="s">
        <v>561</v>
      </c>
      <c r="D265" s="15" t="s">
        <v>109</v>
      </c>
      <c r="E265" s="15" t="s">
        <v>110</v>
      </c>
      <c r="F265" s="15">
        <v>59</v>
      </c>
      <c r="G265" s="15">
        <v>163</v>
      </c>
      <c r="H265" s="15">
        <v>93</v>
      </c>
      <c r="I265" s="15">
        <v>590</v>
      </c>
      <c r="J265" s="15">
        <v>475</v>
      </c>
      <c r="K265" s="15">
        <v>293</v>
      </c>
      <c r="L265" s="15" t="s">
        <v>104</v>
      </c>
      <c r="M265" s="15" t="s">
        <v>115</v>
      </c>
      <c r="N265" s="15">
        <f t="shared" si="4"/>
        <v>315</v>
      </c>
    </row>
    <row r="266" spans="1:14" x14ac:dyDescent="0.3">
      <c r="A266" s="15" t="s">
        <v>562</v>
      </c>
      <c r="B266" s="15" t="s">
        <v>3</v>
      </c>
      <c r="C266" s="15" t="s">
        <v>563</v>
      </c>
      <c r="D266" s="15" t="s">
        <v>102</v>
      </c>
      <c r="E266" s="15" t="s">
        <v>103</v>
      </c>
      <c r="F266" s="15">
        <v>1877</v>
      </c>
      <c r="G266" s="15">
        <v>745</v>
      </c>
      <c r="H266" s="15">
        <v>225</v>
      </c>
      <c r="I266" s="15">
        <v>11262</v>
      </c>
      <c r="J266" s="15">
        <v>10967</v>
      </c>
      <c r="K266" s="15">
        <v>41</v>
      </c>
      <c r="L266" s="15" t="s">
        <v>121</v>
      </c>
      <c r="M266" s="15" t="s">
        <v>82</v>
      </c>
      <c r="N266" s="15">
        <f t="shared" si="4"/>
        <v>2847</v>
      </c>
    </row>
    <row r="267" spans="1:14" x14ac:dyDescent="0.3">
      <c r="A267" s="15" t="s">
        <v>564</v>
      </c>
      <c r="B267" s="15" t="s">
        <v>1</v>
      </c>
      <c r="C267" s="15" t="s">
        <v>186</v>
      </c>
      <c r="D267" s="15" t="s">
        <v>94</v>
      </c>
      <c r="E267" s="15" t="s">
        <v>95</v>
      </c>
      <c r="F267" s="15">
        <v>4182</v>
      </c>
      <c r="G267" s="15">
        <v>640</v>
      </c>
      <c r="H267" s="15">
        <v>240</v>
      </c>
      <c r="I267" s="15">
        <v>50184</v>
      </c>
      <c r="J267" s="15">
        <v>49351</v>
      </c>
      <c r="K267" s="15">
        <v>10</v>
      </c>
      <c r="L267" s="15" t="s">
        <v>142</v>
      </c>
      <c r="M267" s="15" t="s">
        <v>99</v>
      </c>
      <c r="N267" s="15">
        <f t="shared" si="4"/>
        <v>5062</v>
      </c>
    </row>
    <row r="268" spans="1:14" x14ac:dyDescent="0.3">
      <c r="A268" s="15" t="s">
        <v>565</v>
      </c>
      <c r="B268" s="15" t="s">
        <v>3</v>
      </c>
      <c r="C268" s="15" t="s">
        <v>451</v>
      </c>
      <c r="D268" s="15" t="s">
        <v>79</v>
      </c>
      <c r="E268" s="15" t="s">
        <v>80</v>
      </c>
      <c r="F268" s="15">
        <v>4187</v>
      </c>
      <c r="G268" s="15">
        <v>66</v>
      </c>
      <c r="H268" s="15">
        <v>31</v>
      </c>
      <c r="I268" s="15">
        <v>66992</v>
      </c>
      <c r="J268" s="15">
        <v>66614</v>
      </c>
      <c r="K268" s="15">
        <v>62</v>
      </c>
      <c r="L268" s="15" t="s">
        <v>118</v>
      </c>
      <c r="M268" s="15" t="s">
        <v>115</v>
      </c>
      <c r="N268" s="15">
        <f t="shared" si="4"/>
        <v>4284</v>
      </c>
    </row>
    <row r="269" spans="1:14" x14ac:dyDescent="0.3">
      <c r="A269" s="15" t="s">
        <v>566</v>
      </c>
      <c r="B269" s="15" t="s">
        <v>2</v>
      </c>
      <c r="C269" s="15" t="s">
        <v>567</v>
      </c>
      <c r="D269" s="15" t="s">
        <v>79</v>
      </c>
      <c r="E269" s="15" t="s">
        <v>80</v>
      </c>
      <c r="F269" s="15">
        <v>4579</v>
      </c>
      <c r="G269" s="15">
        <v>125</v>
      </c>
      <c r="H269" s="15">
        <v>300</v>
      </c>
      <c r="I269" s="15">
        <v>59527</v>
      </c>
      <c r="J269" s="15">
        <v>59400</v>
      </c>
      <c r="K269" s="15">
        <v>269</v>
      </c>
      <c r="L269" s="15" t="s">
        <v>98</v>
      </c>
      <c r="M269" s="15" t="s">
        <v>82</v>
      </c>
      <c r="N269" s="15">
        <f t="shared" si="4"/>
        <v>5004</v>
      </c>
    </row>
    <row r="270" spans="1:14" x14ac:dyDescent="0.3">
      <c r="A270" s="15" t="s">
        <v>568</v>
      </c>
      <c r="B270" s="15" t="s">
        <v>2</v>
      </c>
      <c r="C270" s="15" t="s">
        <v>569</v>
      </c>
      <c r="D270" s="15" t="s">
        <v>129</v>
      </c>
      <c r="E270" s="15" t="s">
        <v>130</v>
      </c>
      <c r="F270" s="15">
        <v>4561</v>
      </c>
      <c r="G270" s="15">
        <v>51</v>
      </c>
      <c r="H270" s="15">
        <v>441</v>
      </c>
      <c r="I270" s="15">
        <v>22805</v>
      </c>
      <c r="J270" s="15">
        <v>21890</v>
      </c>
      <c r="K270" s="15">
        <v>45</v>
      </c>
      <c r="L270" s="15" t="s">
        <v>118</v>
      </c>
      <c r="M270" s="15" t="s">
        <v>88</v>
      </c>
      <c r="N270" s="15">
        <f t="shared" si="4"/>
        <v>5053</v>
      </c>
    </row>
    <row r="271" spans="1:14" x14ac:dyDescent="0.3">
      <c r="A271" s="15" t="s">
        <v>570</v>
      </c>
      <c r="B271" s="15" t="s">
        <v>4</v>
      </c>
      <c r="C271" s="15" t="s">
        <v>469</v>
      </c>
      <c r="D271" s="15" t="s">
        <v>79</v>
      </c>
      <c r="E271" s="15" t="s">
        <v>80</v>
      </c>
      <c r="F271" s="15">
        <v>3774</v>
      </c>
      <c r="G271" s="15">
        <v>239</v>
      </c>
      <c r="H271" s="15">
        <v>39</v>
      </c>
      <c r="I271" s="15">
        <v>60384</v>
      </c>
      <c r="J271" s="15">
        <v>59490</v>
      </c>
      <c r="K271" s="15">
        <v>241</v>
      </c>
      <c r="L271" s="15" t="s">
        <v>137</v>
      </c>
      <c r="M271" s="15" t="s">
        <v>99</v>
      </c>
      <c r="N271" s="15">
        <f t="shared" si="4"/>
        <v>4052</v>
      </c>
    </row>
    <row r="272" spans="1:14" x14ac:dyDescent="0.3">
      <c r="A272" s="15" t="s">
        <v>571</v>
      </c>
      <c r="B272" s="15" t="s">
        <v>2</v>
      </c>
      <c r="C272" s="15" t="s">
        <v>572</v>
      </c>
      <c r="D272" s="15" t="s">
        <v>129</v>
      </c>
      <c r="E272" s="15" t="s">
        <v>130</v>
      </c>
      <c r="F272" s="15">
        <v>3575</v>
      </c>
      <c r="G272" s="15">
        <v>749</v>
      </c>
      <c r="H272" s="15">
        <v>111</v>
      </c>
      <c r="I272" s="15">
        <v>21450</v>
      </c>
      <c r="J272" s="15">
        <v>20785</v>
      </c>
      <c r="K272" s="15">
        <v>195</v>
      </c>
      <c r="L272" s="15" t="s">
        <v>137</v>
      </c>
      <c r="M272" s="15" t="s">
        <v>99</v>
      </c>
      <c r="N272" s="15">
        <f t="shared" si="4"/>
        <v>4435</v>
      </c>
    </row>
    <row r="273" spans="1:14" x14ac:dyDescent="0.3">
      <c r="A273" s="15" t="s">
        <v>573</v>
      </c>
      <c r="B273" s="15" t="s">
        <v>2</v>
      </c>
      <c r="C273" s="15" t="s">
        <v>541</v>
      </c>
      <c r="D273" s="15" t="s">
        <v>85</v>
      </c>
      <c r="E273" s="15" t="s">
        <v>86</v>
      </c>
      <c r="F273" s="15">
        <v>4941</v>
      </c>
      <c r="G273" s="15">
        <v>414</v>
      </c>
      <c r="H273" s="15">
        <v>266</v>
      </c>
      <c r="I273" s="15">
        <v>39528</v>
      </c>
      <c r="J273" s="15">
        <v>39154</v>
      </c>
      <c r="K273" s="15">
        <v>217</v>
      </c>
      <c r="L273" s="15" t="s">
        <v>81</v>
      </c>
      <c r="M273" s="15" t="s">
        <v>88</v>
      </c>
      <c r="N273" s="15">
        <f t="shared" si="4"/>
        <v>5621</v>
      </c>
    </row>
    <row r="274" spans="1:14" x14ac:dyDescent="0.3">
      <c r="A274" s="15" t="s">
        <v>574</v>
      </c>
      <c r="B274" s="15" t="s">
        <v>4</v>
      </c>
      <c r="C274" s="15" t="s">
        <v>575</v>
      </c>
      <c r="D274" s="15" t="s">
        <v>94</v>
      </c>
      <c r="E274" s="15" t="s">
        <v>95</v>
      </c>
      <c r="F274" s="15">
        <v>3641</v>
      </c>
      <c r="G274" s="15">
        <v>226</v>
      </c>
      <c r="H274" s="15">
        <v>46</v>
      </c>
      <c r="I274" s="15">
        <v>40051</v>
      </c>
      <c r="J274" s="15">
        <v>39319</v>
      </c>
      <c r="K274" s="15">
        <v>296</v>
      </c>
      <c r="L274" s="15" t="s">
        <v>104</v>
      </c>
      <c r="M274" s="15" t="s">
        <v>88</v>
      </c>
      <c r="N274" s="15">
        <f t="shared" si="4"/>
        <v>3913</v>
      </c>
    </row>
    <row r="275" spans="1:14" x14ac:dyDescent="0.3">
      <c r="A275" s="15" t="s">
        <v>576</v>
      </c>
      <c r="B275" s="15" t="s">
        <v>3</v>
      </c>
      <c r="C275" s="15" t="s">
        <v>391</v>
      </c>
      <c r="D275" s="15" t="s">
        <v>102</v>
      </c>
      <c r="E275" s="15" t="s">
        <v>103</v>
      </c>
      <c r="F275" s="15">
        <v>3535</v>
      </c>
      <c r="G275" s="15">
        <v>494</v>
      </c>
      <c r="H275" s="15">
        <v>152</v>
      </c>
      <c r="I275" s="15">
        <v>53025</v>
      </c>
      <c r="J275" s="15">
        <v>52791</v>
      </c>
      <c r="K275" s="15">
        <v>44</v>
      </c>
      <c r="L275" s="15" t="s">
        <v>274</v>
      </c>
      <c r="M275" s="15" t="s">
        <v>88</v>
      </c>
      <c r="N275" s="15">
        <f t="shared" si="4"/>
        <v>4181</v>
      </c>
    </row>
    <row r="276" spans="1:14" x14ac:dyDescent="0.3">
      <c r="A276" s="15" t="s">
        <v>577</v>
      </c>
      <c r="B276" s="15" t="s">
        <v>1</v>
      </c>
      <c r="C276" s="15" t="s">
        <v>551</v>
      </c>
      <c r="D276" s="15" t="s">
        <v>79</v>
      </c>
      <c r="E276" s="15" t="s">
        <v>80</v>
      </c>
      <c r="F276" s="15">
        <v>1741</v>
      </c>
      <c r="G276" s="15">
        <v>831</v>
      </c>
      <c r="H276" s="15">
        <v>345</v>
      </c>
      <c r="I276" s="15">
        <v>17410</v>
      </c>
      <c r="J276" s="15">
        <v>16844</v>
      </c>
      <c r="K276" s="15">
        <v>58</v>
      </c>
      <c r="L276" s="15" t="s">
        <v>131</v>
      </c>
      <c r="M276" s="15" t="s">
        <v>115</v>
      </c>
      <c r="N276" s="15">
        <f t="shared" si="4"/>
        <v>2917</v>
      </c>
    </row>
    <row r="277" spans="1:14" x14ac:dyDescent="0.3">
      <c r="A277" s="15" t="s">
        <v>578</v>
      </c>
      <c r="B277" s="15" t="s">
        <v>3</v>
      </c>
      <c r="C277" s="15" t="s">
        <v>579</v>
      </c>
      <c r="D277" s="15" t="s">
        <v>102</v>
      </c>
      <c r="E277" s="15" t="s">
        <v>103</v>
      </c>
      <c r="F277" s="15">
        <v>1556</v>
      </c>
      <c r="G277" s="15">
        <v>195</v>
      </c>
      <c r="H277" s="15">
        <v>131</v>
      </c>
      <c r="I277" s="15">
        <v>9336</v>
      </c>
      <c r="J277" s="15">
        <v>8875</v>
      </c>
      <c r="K277" s="15">
        <v>137</v>
      </c>
      <c r="L277" s="15" t="s">
        <v>87</v>
      </c>
      <c r="M277" s="15" t="s">
        <v>88</v>
      </c>
      <c r="N277" s="15">
        <f t="shared" si="4"/>
        <v>1882</v>
      </c>
    </row>
    <row r="278" spans="1:14" x14ac:dyDescent="0.3">
      <c r="A278" s="15" t="s">
        <v>580</v>
      </c>
      <c r="B278" s="15" t="s">
        <v>1</v>
      </c>
      <c r="C278" s="15" t="s">
        <v>348</v>
      </c>
      <c r="D278" s="15" t="s">
        <v>109</v>
      </c>
      <c r="E278" s="15" t="s">
        <v>110</v>
      </c>
      <c r="F278" s="15">
        <v>4236</v>
      </c>
      <c r="G278" s="15">
        <v>711</v>
      </c>
      <c r="H278" s="15">
        <v>298</v>
      </c>
      <c r="I278" s="15">
        <v>21180</v>
      </c>
      <c r="J278" s="15">
        <v>20516</v>
      </c>
      <c r="K278" s="15">
        <v>238</v>
      </c>
      <c r="L278" s="15" t="s">
        <v>269</v>
      </c>
      <c r="M278" s="15" t="s">
        <v>115</v>
      </c>
      <c r="N278" s="15">
        <f t="shared" si="4"/>
        <v>5245</v>
      </c>
    </row>
    <row r="279" spans="1:14" x14ac:dyDescent="0.3">
      <c r="A279" s="15" t="s">
        <v>581</v>
      </c>
      <c r="B279" s="15" t="s">
        <v>3</v>
      </c>
      <c r="C279" s="15" t="s">
        <v>582</v>
      </c>
      <c r="D279" s="15" t="s">
        <v>85</v>
      </c>
      <c r="E279" s="15" t="s">
        <v>86</v>
      </c>
      <c r="F279" s="15">
        <v>4516</v>
      </c>
      <c r="G279" s="15">
        <v>836</v>
      </c>
      <c r="H279" s="15">
        <v>169</v>
      </c>
      <c r="I279" s="15">
        <v>49676</v>
      </c>
      <c r="J279" s="15">
        <v>49257</v>
      </c>
      <c r="K279" s="15">
        <v>282</v>
      </c>
      <c r="L279" s="15" t="s">
        <v>104</v>
      </c>
      <c r="M279" s="15" t="s">
        <v>82</v>
      </c>
      <c r="N279" s="15">
        <f t="shared" si="4"/>
        <v>5521</v>
      </c>
    </row>
    <row r="280" spans="1:14" x14ac:dyDescent="0.3">
      <c r="A280" s="15" t="s">
        <v>583</v>
      </c>
      <c r="B280" s="15" t="s">
        <v>4</v>
      </c>
      <c r="C280" s="15" t="s">
        <v>251</v>
      </c>
      <c r="D280" s="15" t="s">
        <v>109</v>
      </c>
      <c r="E280" s="15" t="s">
        <v>110</v>
      </c>
      <c r="F280" s="15">
        <v>4905</v>
      </c>
      <c r="G280" s="15">
        <v>845</v>
      </c>
      <c r="H280" s="15">
        <v>129</v>
      </c>
      <c r="I280" s="15">
        <v>98100</v>
      </c>
      <c r="J280" s="15">
        <v>97772</v>
      </c>
      <c r="K280" s="15">
        <v>279</v>
      </c>
      <c r="L280" s="15" t="s">
        <v>104</v>
      </c>
      <c r="M280" s="15" t="s">
        <v>115</v>
      </c>
      <c r="N280" s="15">
        <f t="shared" si="4"/>
        <v>5879</v>
      </c>
    </row>
    <row r="281" spans="1:14" x14ac:dyDescent="0.3">
      <c r="A281" s="15" t="s">
        <v>584</v>
      </c>
      <c r="B281" s="15" t="s">
        <v>4</v>
      </c>
      <c r="C281" s="15" t="s">
        <v>224</v>
      </c>
      <c r="D281" s="15" t="s">
        <v>129</v>
      </c>
      <c r="E281" s="15" t="s">
        <v>130</v>
      </c>
      <c r="F281" s="15">
        <v>4275</v>
      </c>
      <c r="G281" s="15">
        <v>680</v>
      </c>
      <c r="H281" s="15">
        <v>385</v>
      </c>
      <c r="I281" s="15">
        <v>64125</v>
      </c>
      <c r="J281" s="15">
        <v>63650</v>
      </c>
      <c r="K281" s="15">
        <v>104</v>
      </c>
      <c r="L281" s="15" t="s">
        <v>118</v>
      </c>
      <c r="M281" s="15" t="s">
        <v>115</v>
      </c>
      <c r="N281" s="15">
        <f t="shared" si="4"/>
        <v>5340</v>
      </c>
    </row>
    <row r="282" spans="1:14" x14ac:dyDescent="0.3">
      <c r="A282" s="15" t="s">
        <v>585</v>
      </c>
      <c r="B282" s="15" t="s">
        <v>4</v>
      </c>
      <c r="C282" s="15" t="s">
        <v>586</v>
      </c>
      <c r="D282" s="15" t="s">
        <v>109</v>
      </c>
      <c r="E282" s="15" t="s">
        <v>110</v>
      </c>
      <c r="F282" s="15">
        <v>3166</v>
      </c>
      <c r="G282" s="15">
        <v>90</v>
      </c>
      <c r="H282" s="15">
        <v>341</v>
      </c>
      <c r="I282" s="15">
        <v>56988</v>
      </c>
      <c r="J282" s="15">
        <v>56125</v>
      </c>
      <c r="K282" s="15">
        <v>135</v>
      </c>
      <c r="L282" s="15" t="s">
        <v>206</v>
      </c>
      <c r="M282" s="15" t="s">
        <v>88</v>
      </c>
      <c r="N282" s="15">
        <f t="shared" si="4"/>
        <v>3597</v>
      </c>
    </row>
    <row r="283" spans="1:14" x14ac:dyDescent="0.3">
      <c r="A283" s="15" t="s">
        <v>587</v>
      </c>
      <c r="B283" s="15" t="s">
        <v>2</v>
      </c>
      <c r="C283" s="15" t="s">
        <v>588</v>
      </c>
      <c r="D283" s="15" t="s">
        <v>129</v>
      </c>
      <c r="E283" s="15" t="s">
        <v>130</v>
      </c>
      <c r="F283" s="15">
        <v>1488</v>
      </c>
      <c r="G283" s="15">
        <v>417</v>
      </c>
      <c r="H283" s="15">
        <v>168</v>
      </c>
      <c r="I283" s="15">
        <v>19344</v>
      </c>
      <c r="J283" s="15">
        <v>18395</v>
      </c>
      <c r="K283" s="15">
        <v>30</v>
      </c>
      <c r="L283" s="15" t="s">
        <v>81</v>
      </c>
      <c r="M283" s="15" t="s">
        <v>82</v>
      </c>
      <c r="N283" s="15">
        <f t="shared" si="4"/>
        <v>2073</v>
      </c>
    </row>
    <row r="284" spans="1:14" x14ac:dyDescent="0.3">
      <c r="A284" s="15" t="s">
        <v>589</v>
      </c>
      <c r="B284" s="15" t="s">
        <v>3</v>
      </c>
      <c r="C284" s="15" t="s">
        <v>590</v>
      </c>
      <c r="D284" s="15" t="s">
        <v>79</v>
      </c>
      <c r="E284" s="15" t="s">
        <v>80</v>
      </c>
      <c r="F284" s="15">
        <v>3367</v>
      </c>
      <c r="G284" s="15">
        <v>302</v>
      </c>
      <c r="H284" s="15">
        <v>57</v>
      </c>
      <c r="I284" s="15">
        <v>63973</v>
      </c>
      <c r="J284" s="15">
        <v>63789</v>
      </c>
      <c r="K284" s="15">
        <v>157</v>
      </c>
      <c r="L284" s="15" t="s">
        <v>165</v>
      </c>
      <c r="M284" s="15" t="s">
        <v>99</v>
      </c>
      <c r="N284" s="15">
        <f t="shared" si="4"/>
        <v>3726</v>
      </c>
    </row>
    <row r="285" spans="1:14" x14ac:dyDescent="0.3">
      <c r="A285" s="15" t="s">
        <v>591</v>
      </c>
      <c r="B285" s="15" t="s">
        <v>3</v>
      </c>
      <c r="C285" s="15" t="s">
        <v>159</v>
      </c>
      <c r="D285" s="15" t="s">
        <v>85</v>
      </c>
      <c r="E285" s="15" t="s">
        <v>86</v>
      </c>
      <c r="F285" s="15">
        <v>571</v>
      </c>
      <c r="G285" s="15">
        <v>190</v>
      </c>
      <c r="H285" s="15">
        <v>352</v>
      </c>
      <c r="I285" s="15">
        <v>9707</v>
      </c>
      <c r="J285" s="15">
        <v>9418</v>
      </c>
      <c r="K285" s="15">
        <v>231</v>
      </c>
      <c r="L285" s="15" t="s">
        <v>137</v>
      </c>
      <c r="M285" s="15" t="s">
        <v>88</v>
      </c>
      <c r="N285" s="15">
        <f t="shared" si="4"/>
        <v>1113</v>
      </c>
    </row>
    <row r="286" spans="1:14" x14ac:dyDescent="0.3">
      <c r="A286" s="15" t="s">
        <v>592</v>
      </c>
      <c r="B286" s="15" t="s">
        <v>4</v>
      </c>
      <c r="C286" s="15" t="s">
        <v>484</v>
      </c>
      <c r="D286" s="15" t="s">
        <v>85</v>
      </c>
      <c r="E286" s="15" t="s">
        <v>86</v>
      </c>
      <c r="F286" s="15">
        <v>4021</v>
      </c>
      <c r="G286" s="15">
        <v>794</v>
      </c>
      <c r="H286" s="15">
        <v>77</v>
      </c>
      <c r="I286" s="15">
        <v>36189</v>
      </c>
      <c r="J286" s="15">
        <v>35505</v>
      </c>
      <c r="K286" s="15">
        <v>174</v>
      </c>
      <c r="L286" s="15" t="s">
        <v>324</v>
      </c>
      <c r="M286" s="15" t="s">
        <v>82</v>
      </c>
      <c r="N286" s="15">
        <f t="shared" si="4"/>
        <v>4892</v>
      </c>
    </row>
    <row r="287" spans="1:14" x14ac:dyDescent="0.3">
      <c r="A287" s="15" t="s">
        <v>593</v>
      </c>
      <c r="B287" s="15" t="s">
        <v>4</v>
      </c>
      <c r="C287" s="15" t="s">
        <v>594</v>
      </c>
      <c r="D287" s="15" t="s">
        <v>129</v>
      </c>
      <c r="E287" s="15" t="s">
        <v>130</v>
      </c>
      <c r="F287" s="15">
        <v>3389</v>
      </c>
      <c r="G287" s="15">
        <v>344</v>
      </c>
      <c r="H287" s="15">
        <v>229</v>
      </c>
      <c r="I287" s="15">
        <v>20334</v>
      </c>
      <c r="J287" s="15">
        <v>19443</v>
      </c>
      <c r="K287" s="15">
        <v>228</v>
      </c>
      <c r="L287" s="15" t="s">
        <v>91</v>
      </c>
      <c r="M287" s="15" t="s">
        <v>88</v>
      </c>
      <c r="N287" s="15">
        <f t="shared" si="4"/>
        <v>3962</v>
      </c>
    </row>
    <row r="288" spans="1:14" x14ac:dyDescent="0.3">
      <c r="A288" s="15" t="s">
        <v>595</v>
      </c>
      <c r="B288" s="15" t="s">
        <v>2</v>
      </c>
      <c r="C288" s="15" t="s">
        <v>459</v>
      </c>
      <c r="D288" s="15" t="s">
        <v>79</v>
      </c>
      <c r="E288" s="15" t="s">
        <v>80</v>
      </c>
      <c r="F288" s="15">
        <v>1164</v>
      </c>
      <c r="G288" s="15">
        <v>616</v>
      </c>
      <c r="H288" s="15">
        <v>324</v>
      </c>
      <c r="I288" s="15">
        <v>6984</v>
      </c>
      <c r="J288" s="15">
        <v>6636</v>
      </c>
      <c r="K288" s="15">
        <v>82</v>
      </c>
      <c r="L288" s="15" t="s">
        <v>345</v>
      </c>
      <c r="M288" s="15" t="s">
        <v>99</v>
      </c>
      <c r="N288" s="15">
        <f t="shared" si="4"/>
        <v>2104</v>
      </c>
    </row>
    <row r="289" spans="1:14" x14ac:dyDescent="0.3">
      <c r="A289" s="15" t="s">
        <v>596</v>
      </c>
      <c r="B289" s="15" t="s">
        <v>4</v>
      </c>
      <c r="C289" s="15" t="s">
        <v>597</v>
      </c>
      <c r="D289" s="15" t="s">
        <v>102</v>
      </c>
      <c r="E289" s="15" t="s">
        <v>103</v>
      </c>
      <c r="F289" s="15">
        <v>4780</v>
      </c>
      <c r="G289" s="15">
        <v>691</v>
      </c>
      <c r="H289" s="15">
        <v>380</v>
      </c>
      <c r="I289" s="15">
        <v>86040</v>
      </c>
      <c r="J289" s="15">
        <v>85743</v>
      </c>
      <c r="K289" s="15">
        <v>262</v>
      </c>
      <c r="L289" s="15" t="s">
        <v>131</v>
      </c>
      <c r="M289" s="15" t="s">
        <v>99</v>
      </c>
      <c r="N289" s="15">
        <f t="shared" si="4"/>
        <v>5851</v>
      </c>
    </row>
    <row r="290" spans="1:14" x14ac:dyDescent="0.3">
      <c r="A290" s="15" t="s">
        <v>598</v>
      </c>
      <c r="B290" s="15" t="s">
        <v>1</v>
      </c>
      <c r="C290" s="15" t="s">
        <v>364</v>
      </c>
      <c r="D290" s="15" t="s">
        <v>102</v>
      </c>
      <c r="E290" s="15" t="s">
        <v>103</v>
      </c>
      <c r="F290" s="15">
        <v>2751</v>
      </c>
      <c r="G290" s="15">
        <v>33</v>
      </c>
      <c r="H290" s="15">
        <v>430</v>
      </c>
      <c r="I290" s="15">
        <v>44016</v>
      </c>
      <c r="J290" s="15">
        <v>43415</v>
      </c>
      <c r="K290" s="15">
        <v>129</v>
      </c>
      <c r="L290" s="15" t="s">
        <v>274</v>
      </c>
      <c r="M290" s="15" t="s">
        <v>88</v>
      </c>
      <c r="N290" s="15">
        <f t="shared" si="4"/>
        <v>3214</v>
      </c>
    </row>
    <row r="291" spans="1:14" x14ac:dyDescent="0.3">
      <c r="A291" s="15" t="s">
        <v>599</v>
      </c>
      <c r="B291" s="15" t="s">
        <v>2</v>
      </c>
      <c r="C291" s="15" t="s">
        <v>600</v>
      </c>
      <c r="D291" s="15" t="s">
        <v>102</v>
      </c>
      <c r="E291" s="15" t="s">
        <v>103</v>
      </c>
      <c r="F291" s="15">
        <v>2107</v>
      </c>
      <c r="G291" s="15">
        <v>550</v>
      </c>
      <c r="H291" s="15">
        <v>349</v>
      </c>
      <c r="I291" s="15">
        <v>35819</v>
      </c>
      <c r="J291" s="15">
        <v>35340</v>
      </c>
      <c r="K291" s="15">
        <v>191</v>
      </c>
      <c r="L291" s="15" t="s">
        <v>104</v>
      </c>
      <c r="M291" s="15" t="s">
        <v>99</v>
      </c>
      <c r="N291" s="15">
        <f t="shared" si="4"/>
        <v>3006</v>
      </c>
    </row>
    <row r="292" spans="1:14" x14ac:dyDescent="0.3">
      <c r="A292" s="15" t="s">
        <v>601</v>
      </c>
      <c r="B292" s="15" t="s">
        <v>1</v>
      </c>
      <c r="C292" s="15" t="s">
        <v>151</v>
      </c>
      <c r="D292" s="15" t="s">
        <v>129</v>
      </c>
      <c r="E292" s="15" t="s">
        <v>130</v>
      </c>
      <c r="F292" s="15">
        <v>4663</v>
      </c>
      <c r="G292" s="15">
        <v>145</v>
      </c>
      <c r="H292" s="15">
        <v>225</v>
      </c>
      <c r="I292" s="15">
        <v>69945</v>
      </c>
      <c r="J292" s="15">
        <v>69596</v>
      </c>
      <c r="K292" s="15">
        <v>35</v>
      </c>
      <c r="L292" s="15" t="s">
        <v>87</v>
      </c>
      <c r="M292" s="15" t="s">
        <v>88</v>
      </c>
      <c r="N292" s="15">
        <f t="shared" si="4"/>
        <v>5033</v>
      </c>
    </row>
    <row r="293" spans="1:14" x14ac:dyDescent="0.3">
      <c r="A293" s="15" t="s">
        <v>602</v>
      </c>
      <c r="B293" s="15" t="s">
        <v>1</v>
      </c>
      <c r="C293" s="15" t="s">
        <v>603</v>
      </c>
      <c r="D293" s="15" t="s">
        <v>85</v>
      </c>
      <c r="E293" s="15" t="s">
        <v>86</v>
      </c>
      <c r="F293" s="15">
        <v>880</v>
      </c>
      <c r="G293" s="15">
        <v>297</v>
      </c>
      <c r="H293" s="15">
        <v>345</v>
      </c>
      <c r="I293" s="15">
        <v>12320</v>
      </c>
      <c r="J293" s="15">
        <v>11978</v>
      </c>
      <c r="K293" s="15">
        <v>238</v>
      </c>
      <c r="L293" s="15" t="s">
        <v>81</v>
      </c>
      <c r="M293" s="15" t="s">
        <v>88</v>
      </c>
      <c r="N293" s="15">
        <f t="shared" si="4"/>
        <v>1522</v>
      </c>
    </row>
    <row r="294" spans="1:14" x14ac:dyDescent="0.3">
      <c r="A294" s="15" t="s">
        <v>604</v>
      </c>
      <c r="B294" s="15" t="s">
        <v>1</v>
      </c>
      <c r="C294" s="15" t="s">
        <v>605</v>
      </c>
      <c r="D294" s="15" t="s">
        <v>85</v>
      </c>
      <c r="E294" s="15" t="s">
        <v>86</v>
      </c>
      <c r="F294" s="15">
        <v>2634</v>
      </c>
      <c r="G294" s="15">
        <v>726</v>
      </c>
      <c r="H294" s="15">
        <v>241</v>
      </c>
      <c r="I294" s="15">
        <v>28974</v>
      </c>
      <c r="J294" s="15">
        <v>28102</v>
      </c>
      <c r="K294" s="15">
        <v>277</v>
      </c>
      <c r="L294" s="15" t="s">
        <v>118</v>
      </c>
      <c r="M294" s="15" t="s">
        <v>99</v>
      </c>
      <c r="N294" s="15">
        <f t="shared" si="4"/>
        <v>3601</v>
      </c>
    </row>
    <row r="295" spans="1:14" x14ac:dyDescent="0.3">
      <c r="A295" s="15" t="s">
        <v>606</v>
      </c>
      <c r="B295" s="15" t="s">
        <v>1</v>
      </c>
      <c r="C295" s="15" t="s">
        <v>607</v>
      </c>
      <c r="D295" s="15" t="s">
        <v>102</v>
      </c>
      <c r="E295" s="15" t="s">
        <v>103</v>
      </c>
      <c r="F295" s="15">
        <v>4731</v>
      </c>
      <c r="G295" s="15">
        <v>173</v>
      </c>
      <c r="H295" s="15">
        <v>276</v>
      </c>
      <c r="I295" s="15">
        <v>28386</v>
      </c>
      <c r="J295" s="15">
        <v>28185</v>
      </c>
      <c r="K295" s="15">
        <v>89</v>
      </c>
      <c r="L295" s="15" t="s">
        <v>165</v>
      </c>
      <c r="M295" s="15" t="s">
        <v>115</v>
      </c>
      <c r="N295" s="15">
        <f t="shared" si="4"/>
        <v>5180</v>
      </c>
    </row>
    <row r="296" spans="1:14" x14ac:dyDescent="0.3">
      <c r="A296" s="15" t="s">
        <v>608</v>
      </c>
      <c r="B296" s="15" t="s">
        <v>3</v>
      </c>
      <c r="C296" s="15" t="s">
        <v>490</v>
      </c>
      <c r="D296" s="15" t="s">
        <v>109</v>
      </c>
      <c r="E296" s="15" t="s">
        <v>110</v>
      </c>
      <c r="F296" s="15">
        <v>1952</v>
      </c>
      <c r="G296" s="15">
        <v>344</v>
      </c>
      <c r="H296" s="15">
        <v>287</v>
      </c>
      <c r="I296" s="15">
        <v>15616</v>
      </c>
      <c r="J296" s="15">
        <v>15403</v>
      </c>
      <c r="K296" s="15">
        <v>235</v>
      </c>
      <c r="L296" s="15" t="s">
        <v>126</v>
      </c>
      <c r="M296" s="15" t="s">
        <v>99</v>
      </c>
      <c r="N296" s="15">
        <f t="shared" si="4"/>
        <v>2583</v>
      </c>
    </row>
    <row r="297" spans="1:14" x14ac:dyDescent="0.3">
      <c r="A297" s="15" t="s">
        <v>609</v>
      </c>
      <c r="B297" s="15" t="s">
        <v>3</v>
      </c>
      <c r="C297" s="15" t="s">
        <v>610</v>
      </c>
      <c r="D297" s="15" t="s">
        <v>129</v>
      </c>
      <c r="E297" s="15" t="s">
        <v>130</v>
      </c>
      <c r="F297" s="15">
        <v>3440</v>
      </c>
      <c r="G297" s="15">
        <v>13</v>
      </c>
      <c r="H297" s="15">
        <v>20</v>
      </c>
      <c r="I297" s="15">
        <v>58480</v>
      </c>
      <c r="J297" s="15">
        <v>58146</v>
      </c>
      <c r="K297" s="15">
        <v>210</v>
      </c>
      <c r="L297" s="15" t="s">
        <v>131</v>
      </c>
      <c r="M297" s="15" t="s">
        <v>82</v>
      </c>
      <c r="N297" s="15">
        <f t="shared" si="4"/>
        <v>3473</v>
      </c>
    </row>
    <row r="298" spans="1:14" x14ac:dyDescent="0.3">
      <c r="A298" s="15" t="s">
        <v>611</v>
      </c>
      <c r="B298" s="15" t="s">
        <v>3</v>
      </c>
      <c r="C298" s="15" t="s">
        <v>612</v>
      </c>
      <c r="D298" s="15" t="s">
        <v>85</v>
      </c>
      <c r="E298" s="15" t="s">
        <v>86</v>
      </c>
      <c r="F298" s="15">
        <v>2166</v>
      </c>
      <c r="G298" s="15">
        <v>354</v>
      </c>
      <c r="H298" s="15">
        <v>117</v>
      </c>
      <c r="I298" s="15">
        <v>10830</v>
      </c>
      <c r="J298" s="15">
        <v>10245</v>
      </c>
      <c r="K298" s="15">
        <v>24</v>
      </c>
      <c r="L298" s="15" t="s">
        <v>147</v>
      </c>
      <c r="M298" s="15" t="s">
        <v>82</v>
      </c>
      <c r="N298" s="15">
        <f t="shared" si="4"/>
        <v>2637</v>
      </c>
    </row>
    <row r="299" spans="1:14" x14ac:dyDescent="0.3">
      <c r="A299" s="15" t="s">
        <v>613</v>
      </c>
      <c r="B299" s="15" t="s">
        <v>1</v>
      </c>
      <c r="C299" s="15" t="s">
        <v>128</v>
      </c>
      <c r="D299" s="15" t="s">
        <v>109</v>
      </c>
      <c r="E299" s="15" t="s">
        <v>110</v>
      </c>
      <c r="F299" s="15">
        <v>4303</v>
      </c>
      <c r="G299" s="15">
        <v>451</v>
      </c>
      <c r="H299" s="15">
        <v>286</v>
      </c>
      <c r="I299" s="15">
        <v>86060</v>
      </c>
      <c r="J299" s="15">
        <v>85823</v>
      </c>
      <c r="K299" s="15">
        <v>14</v>
      </c>
      <c r="L299" s="15" t="s">
        <v>81</v>
      </c>
      <c r="M299" s="15" t="s">
        <v>88</v>
      </c>
      <c r="N299" s="15">
        <f t="shared" si="4"/>
        <v>5040</v>
      </c>
    </row>
    <row r="300" spans="1:14" x14ac:dyDescent="0.3">
      <c r="A300" s="15" t="s">
        <v>614</v>
      </c>
      <c r="B300" s="15" t="s">
        <v>1</v>
      </c>
      <c r="C300" s="15" t="s">
        <v>133</v>
      </c>
      <c r="D300" s="15" t="s">
        <v>109</v>
      </c>
      <c r="E300" s="15" t="s">
        <v>110</v>
      </c>
      <c r="F300" s="15">
        <v>2581</v>
      </c>
      <c r="G300" s="15">
        <v>517</v>
      </c>
      <c r="H300" s="15">
        <v>117</v>
      </c>
      <c r="I300" s="15">
        <v>23229</v>
      </c>
      <c r="J300" s="15">
        <v>22331</v>
      </c>
      <c r="K300" s="15">
        <v>70</v>
      </c>
      <c r="L300" s="15" t="s">
        <v>142</v>
      </c>
      <c r="M300" s="15" t="s">
        <v>88</v>
      </c>
      <c r="N300" s="15">
        <f t="shared" si="4"/>
        <v>3215</v>
      </c>
    </row>
    <row r="301" spans="1:14" x14ac:dyDescent="0.3">
      <c r="A301" s="15" t="s">
        <v>615</v>
      </c>
      <c r="B301" s="15" t="s">
        <v>3</v>
      </c>
      <c r="C301" s="15" t="s">
        <v>374</v>
      </c>
      <c r="D301" s="15" t="s">
        <v>102</v>
      </c>
      <c r="E301" s="15" t="s">
        <v>103</v>
      </c>
      <c r="F301" s="15">
        <v>4494</v>
      </c>
      <c r="G301" s="15">
        <v>717</v>
      </c>
      <c r="H301" s="15">
        <v>45</v>
      </c>
      <c r="I301" s="15">
        <v>62916</v>
      </c>
      <c r="J301" s="15">
        <v>62688</v>
      </c>
      <c r="K301" s="15">
        <v>191</v>
      </c>
      <c r="L301" s="15" t="s">
        <v>87</v>
      </c>
      <c r="M301" s="15" t="s">
        <v>82</v>
      </c>
      <c r="N301" s="15">
        <f t="shared" si="4"/>
        <v>5256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744B-8240-4D88-8A58-DE778552F77A}">
  <dimension ref="A1:N457"/>
  <sheetViews>
    <sheetView topLeftCell="A113" workbookViewId="0">
      <selection activeCell="M64" sqref="M64"/>
    </sheetView>
  </sheetViews>
  <sheetFormatPr defaultRowHeight="14.4" x14ac:dyDescent="0.3"/>
  <cols>
    <col min="1" max="2" width="8.88671875" style="15"/>
    <col min="3" max="3" width="11.44140625" style="15" customWidth="1"/>
    <col min="4" max="4" width="8.88671875" style="15"/>
    <col min="5" max="5" width="33.77734375" style="15" customWidth="1"/>
    <col min="6" max="11" width="8.88671875" style="15"/>
    <col min="12" max="12" width="11.88671875" style="15" customWidth="1"/>
    <col min="13" max="13" width="14.77734375" style="15" customWidth="1"/>
    <col min="14" max="14" width="26" style="15" customWidth="1"/>
    <col min="15" max="16384" width="8.88671875" style="15"/>
  </cols>
  <sheetData>
    <row r="1" spans="1:14" x14ac:dyDescent="0.3">
      <c r="A1" s="15" t="s">
        <v>64</v>
      </c>
      <c r="B1" s="15" t="s">
        <v>63</v>
      </c>
      <c r="C1" s="15" t="s">
        <v>65</v>
      </c>
      <c r="D1" s="15" t="s">
        <v>66</v>
      </c>
      <c r="E1" s="15" t="s">
        <v>67</v>
      </c>
      <c r="F1" s="15" t="s">
        <v>68</v>
      </c>
      <c r="G1" s="15" t="s">
        <v>69</v>
      </c>
      <c r="H1" s="15" t="s">
        <v>70</v>
      </c>
      <c r="I1" s="15" t="s">
        <v>71</v>
      </c>
      <c r="J1" s="15" t="s">
        <v>72</v>
      </c>
      <c r="K1" s="15" t="s">
        <v>73</v>
      </c>
      <c r="L1" s="15" t="s">
        <v>75</v>
      </c>
      <c r="M1" s="15" t="s">
        <v>76</v>
      </c>
      <c r="N1" s="15" t="s">
        <v>74</v>
      </c>
    </row>
    <row r="2" spans="1:14" x14ac:dyDescent="0.3">
      <c r="A2" s="15" t="s">
        <v>77</v>
      </c>
      <c r="B2" s="15" t="s">
        <v>3</v>
      </c>
      <c r="C2" s="67">
        <v>45649</v>
      </c>
      <c r="D2" s="15" t="s">
        <v>79</v>
      </c>
      <c r="E2" s="15" t="s">
        <v>80</v>
      </c>
      <c r="F2" s="15">
        <v>1461</v>
      </c>
      <c r="G2" s="15">
        <v>184</v>
      </c>
      <c r="H2" s="15">
        <v>344</v>
      </c>
      <c r="I2" s="15">
        <v>21915</v>
      </c>
      <c r="J2" s="15">
        <v>21675</v>
      </c>
      <c r="K2" s="15">
        <v>15</v>
      </c>
      <c r="L2" s="15" t="s">
        <v>82</v>
      </c>
      <c r="M2" s="15">
        <v>1989</v>
      </c>
      <c r="N2" s="15" t="s">
        <v>81</v>
      </c>
    </row>
    <row r="3" spans="1:14" x14ac:dyDescent="0.3">
      <c r="A3" s="15" t="s">
        <v>83</v>
      </c>
      <c r="B3" s="15" t="s">
        <v>3</v>
      </c>
      <c r="C3" s="67">
        <v>45750</v>
      </c>
      <c r="D3" s="15" t="s">
        <v>85</v>
      </c>
      <c r="E3" s="15" t="s">
        <v>86</v>
      </c>
      <c r="F3" s="15">
        <v>4054</v>
      </c>
      <c r="G3" s="15">
        <v>389</v>
      </c>
      <c r="H3" s="15">
        <v>493</v>
      </c>
      <c r="I3" s="15">
        <v>64864</v>
      </c>
      <c r="J3" s="15">
        <v>64383</v>
      </c>
      <c r="K3" s="15">
        <v>117</v>
      </c>
      <c r="L3" s="15" t="s">
        <v>88</v>
      </c>
      <c r="M3" s="15">
        <v>4936</v>
      </c>
      <c r="N3" s="15" t="s">
        <v>87</v>
      </c>
    </row>
    <row r="4" spans="1:14" x14ac:dyDescent="0.3">
      <c r="A4" s="15" t="s">
        <v>89</v>
      </c>
      <c r="B4" s="15" t="s">
        <v>4</v>
      </c>
      <c r="C4" s="67">
        <v>45789</v>
      </c>
      <c r="D4" s="15" t="s">
        <v>79</v>
      </c>
      <c r="E4" s="15" t="s">
        <v>80</v>
      </c>
      <c r="F4" s="15">
        <v>2795</v>
      </c>
      <c r="G4" s="15">
        <v>105</v>
      </c>
      <c r="H4" s="15">
        <v>49</v>
      </c>
      <c r="I4" s="15">
        <v>53105</v>
      </c>
      <c r="J4" s="15">
        <v>52307</v>
      </c>
      <c r="K4" s="15">
        <v>204</v>
      </c>
      <c r="L4" s="15" t="s">
        <v>82</v>
      </c>
      <c r="M4" s="15">
        <v>2949</v>
      </c>
      <c r="N4" s="15" t="s">
        <v>87</v>
      </c>
    </row>
    <row r="5" spans="1:14" x14ac:dyDescent="0.3">
      <c r="A5" s="15" t="s">
        <v>89</v>
      </c>
      <c r="B5" s="15" t="s">
        <v>4</v>
      </c>
      <c r="C5" s="67">
        <v>45789</v>
      </c>
      <c r="D5" s="15" t="s">
        <v>79</v>
      </c>
      <c r="E5" s="15" t="s">
        <v>80</v>
      </c>
      <c r="F5" s="15">
        <v>2795</v>
      </c>
      <c r="G5" s="15">
        <v>105</v>
      </c>
      <c r="H5" s="15">
        <v>49</v>
      </c>
      <c r="I5" s="15">
        <v>53105</v>
      </c>
      <c r="J5" s="15">
        <v>52307</v>
      </c>
      <c r="K5" s="15">
        <v>204</v>
      </c>
      <c r="L5" s="15" t="s">
        <v>82</v>
      </c>
      <c r="M5" s="15">
        <v>2949</v>
      </c>
      <c r="N5" s="15" t="s">
        <v>81</v>
      </c>
    </row>
    <row r="6" spans="1:14" x14ac:dyDescent="0.3">
      <c r="A6" s="15" t="s">
        <v>92</v>
      </c>
      <c r="B6" s="15" t="s">
        <v>2</v>
      </c>
      <c r="C6" s="67">
        <v>45516</v>
      </c>
      <c r="D6" s="15" t="s">
        <v>94</v>
      </c>
      <c r="E6" s="15" t="s">
        <v>95</v>
      </c>
      <c r="F6" s="15">
        <v>2404</v>
      </c>
      <c r="G6" s="15">
        <v>363</v>
      </c>
      <c r="H6" s="15">
        <v>138</v>
      </c>
      <c r="I6" s="15">
        <v>19232</v>
      </c>
      <c r="J6" s="15">
        <v>18636</v>
      </c>
      <c r="K6" s="15">
        <v>128</v>
      </c>
      <c r="L6" s="15" t="s">
        <v>82</v>
      </c>
      <c r="M6" s="15">
        <v>2905</v>
      </c>
      <c r="N6" s="15" t="s">
        <v>81</v>
      </c>
    </row>
    <row r="7" spans="1:14" x14ac:dyDescent="0.3">
      <c r="A7" s="15" t="s">
        <v>96</v>
      </c>
      <c r="B7" s="15" t="s">
        <v>4</v>
      </c>
      <c r="C7" s="67">
        <v>45469</v>
      </c>
      <c r="D7" s="15" t="s">
        <v>79</v>
      </c>
      <c r="E7" s="15" t="s">
        <v>80</v>
      </c>
      <c r="F7" s="15">
        <v>3557</v>
      </c>
      <c r="G7" s="15">
        <v>687</v>
      </c>
      <c r="H7" s="15">
        <v>424</v>
      </c>
      <c r="I7" s="15">
        <v>71140</v>
      </c>
      <c r="J7" s="15">
        <v>70701</v>
      </c>
      <c r="K7" s="15">
        <v>224</v>
      </c>
      <c r="L7" s="15" t="s">
        <v>99</v>
      </c>
      <c r="M7" s="15">
        <v>4668</v>
      </c>
      <c r="N7" s="15" t="s">
        <v>118</v>
      </c>
    </row>
    <row r="8" spans="1:14" x14ac:dyDescent="0.3">
      <c r="A8" s="15" t="s">
        <v>96</v>
      </c>
      <c r="B8" s="15" t="s">
        <v>4</v>
      </c>
      <c r="C8" s="67">
        <v>45469</v>
      </c>
      <c r="D8" s="15" t="s">
        <v>79</v>
      </c>
      <c r="E8" s="15" t="s">
        <v>80</v>
      </c>
      <c r="F8" s="15">
        <v>3557</v>
      </c>
      <c r="G8" s="15">
        <v>687</v>
      </c>
      <c r="H8" s="15">
        <v>424</v>
      </c>
      <c r="I8" s="15">
        <v>71140</v>
      </c>
      <c r="J8" s="15">
        <v>70701</v>
      </c>
      <c r="K8" s="15">
        <v>224</v>
      </c>
      <c r="L8" s="15" t="s">
        <v>99</v>
      </c>
      <c r="M8" s="15">
        <v>4668</v>
      </c>
      <c r="N8" s="15" t="s">
        <v>87</v>
      </c>
    </row>
    <row r="9" spans="1:14" x14ac:dyDescent="0.3">
      <c r="A9" s="15" t="s">
        <v>100</v>
      </c>
      <c r="B9" s="15" t="s">
        <v>1</v>
      </c>
      <c r="C9" s="67">
        <v>45596</v>
      </c>
      <c r="D9" s="15" t="s">
        <v>102</v>
      </c>
      <c r="E9" s="15" t="s">
        <v>103</v>
      </c>
      <c r="F9" s="15">
        <v>2945</v>
      </c>
      <c r="G9" s="15">
        <v>930</v>
      </c>
      <c r="H9" s="15">
        <v>355</v>
      </c>
      <c r="I9" s="15">
        <v>23560</v>
      </c>
      <c r="J9" s="15">
        <v>23275</v>
      </c>
      <c r="K9" s="15">
        <v>256</v>
      </c>
      <c r="L9" s="15" t="s">
        <v>88</v>
      </c>
      <c r="M9" s="15">
        <v>4230</v>
      </c>
      <c r="N9" s="15" t="s">
        <v>104</v>
      </c>
    </row>
    <row r="10" spans="1:14" x14ac:dyDescent="0.3">
      <c r="A10" s="15" t="s">
        <v>105</v>
      </c>
      <c r="B10" s="15" t="s">
        <v>3</v>
      </c>
      <c r="C10" s="67">
        <v>45467</v>
      </c>
      <c r="D10" s="15" t="s">
        <v>102</v>
      </c>
      <c r="E10" s="15" t="s">
        <v>103</v>
      </c>
      <c r="F10" s="15">
        <v>3860</v>
      </c>
      <c r="G10" s="15">
        <v>201</v>
      </c>
      <c r="H10" s="15">
        <v>279</v>
      </c>
      <c r="I10" s="15">
        <v>61760</v>
      </c>
      <c r="J10" s="15">
        <v>61660</v>
      </c>
      <c r="K10" s="15">
        <v>235</v>
      </c>
      <c r="L10" s="15" t="s">
        <v>99</v>
      </c>
      <c r="M10" s="15">
        <v>4340</v>
      </c>
      <c r="N10" s="15" t="s">
        <v>104</v>
      </c>
    </row>
    <row r="11" spans="1:14" x14ac:dyDescent="0.3">
      <c r="A11" s="15" t="s">
        <v>107</v>
      </c>
      <c r="B11" s="15" t="s">
        <v>4</v>
      </c>
      <c r="C11" s="67">
        <v>45486</v>
      </c>
      <c r="D11" s="15" t="s">
        <v>109</v>
      </c>
      <c r="E11" s="15" t="s">
        <v>110</v>
      </c>
      <c r="F11" s="15">
        <v>3929</v>
      </c>
      <c r="G11" s="15">
        <v>262</v>
      </c>
      <c r="H11" s="15">
        <v>278</v>
      </c>
      <c r="I11" s="15">
        <v>43219</v>
      </c>
      <c r="J11" s="15">
        <v>42841</v>
      </c>
      <c r="K11" s="15">
        <v>39</v>
      </c>
      <c r="L11" s="15" t="s">
        <v>99</v>
      </c>
      <c r="M11" s="15">
        <v>4469</v>
      </c>
      <c r="N11" s="15" t="s">
        <v>87</v>
      </c>
    </row>
    <row r="12" spans="1:14" x14ac:dyDescent="0.3">
      <c r="A12" s="15" t="s">
        <v>107</v>
      </c>
      <c r="B12" s="15" t="s">
        <v>4</v>
      </c>
      <c r="C12" s="67">
        <v>45486</v>
      </c>
      <c r="D12" s="15" t="s">
        <v>109</v>
      </c>
      <c r="E12" s="15" t="s">
        <v>110</v>
      </c>
      <c r="F12" s="15">
        <v>3929</v>
      </c>
      <c r="G12" s="15">
        <v>262</v>
      </c>
      <c r="H12" s="15">
        <v>278</v>
      </c>
      <c r="I12" s="15">
        <v>43219</v>
      </c>
      <c r="J12" s="15">
        <v>42841</v>
      </c>
      <c r="K12" s="15">
        <v>39</v>
      </c>
      <c r="L12" s="15" t="s">
        <v>99</v>
      </c>
      <c r="M12" s="15">
        <v>4469</v>
      </c>
      <c r="N12" s="15" t="s">
        <v>81</v>
      </c>
    </row>
    <row r="13" spans="1:14" x14ac:dyDescent="0.3">
      <c r="A13" s="15" t="s">
        <v>111</v>
      </c>
      <c r="B13" s="15" t="s">
        <v>1</v>
      </c>
      <c r="C13" s="67">
        <v>45534</v>
      </c>
      <c r="D13" s="15" t="s">
        <v>85</v>
      </c>
      <c r="E13" s="15" t="s">
        <v>86</v>
      </c>
      <c r="F13" s="15">
        <v>3784</v>
      </c>
      <c r="G13" s="15">
        <v>808</v>
      </c>
      <c r="H13" s="15">
        <v>404</v>
      </c>
      <c r="I13" s="15">
        <v>56760</v>
      </c>
      <c r="J13" s="15">
        <v>56343</v>
      </c>
      <c r="K13" s="15">
        <v>131</v>
      </c>
      <c r="L13" s="15" t="s">
        <v>99</v>
      </c>
      <c r="M13" s="15">
        <v>4996</v>
      </c>
      <c r="N13" s="15" t="s">
        <v>87</v>
      </c>
    </row>
    <row r="14" spans="1:14" x14ac:dyDescent="0.3">
      <c r="A14" s="15" t="s">
        <v>111</v>
      </c>
      <c r="B14" s="15" t="s">
        <v>1</v>
      </c>
      <c r="C14" s="67">
        <v>45534</v>
      </c>
      <c r="D14" s="15" t="s">
        <v>85</v>
      </c>
      <c r="E14" s="15" t="s">
        <v>86</v>
      </c>
      <c r="F14" s="15">
        <v>3784</v>
      </c>
      <c r="G14" s="15">
        <v>808</v>
      </c>
      <c r="H14" s="15">
        <v>404</v>
      </c>
      <c r="I14" s="15">
        <v>56760</v>
      </c>
      <c r="J14" s="15">
        <v>56343</v>
      </c>
      <c r="K14" s="15">
        <v>131</v>
      </c>
      <c r="L14" s="15" t="s">
        <v>99</v>
      </c>
      <c r="M14" s="15">
        <v>4996</v>
      </c>
      <c r="N14" s="15" t="s">
        <v>81</v>
      </c>
    </row>
    <row r="15" spans="1:14" x14ac:dyDescent="0.3">
      <c r="A15" s="15" t="s">
        <v>113</v>
      </c>
      <c r="B15" s="15" t="s">
        <v>1</v>
      </c>
      <c r="C15" s="67">
        <v>45727</v>
      </c>
      <c r="D15" s="15" t="s">
        <v>109</v>
      </c>
      <c r="E15" s="15" t="s">
        <v>110</v>
      </c>
      <c r="F15" s="15">
        <v>4241</v>
      </c>
      <c r="G15" s="15">
        <v>902</v>
      </c>
      <c r="H15" s="15">
        <v>47</v>
      </c>
      <c r="I15" s="15">
        <v>72097</v>
      </c>
      <c r="J15" s="15">
        <v>71598</v>
      </c>
      <c r="K15" s="15">
        <v>167</v>
      </c>
      <c r="L15" s="15" t="s">
        <v>115</v>
      </c>
      <c r="M15" s="15">
        <v>5190</v>
      </c>
      <c r="N15" s="15" t="s">
        <v>104</v>
      </c>
    </row>
    <row r="16" spans="1:14" x14ac:dyDescent="0.3">
      <c r="A16" s="15" t="s">
        <v>116</v>
      </c>
      <c r="B16" s="15" t="s">
        <v>2</v>
      </c>
      <c r="C16" s="67">
        <v>45690</v>
      </c>
      <c r="D16" s="15" t="s">
        <v>94</v>
      </c>
      <c r="E16" s="15" t="s">
        <v>95</v>
      </c>
      <c r="F16" s="15">
        <v>1792</v>
      </c>
      <c r="G16" s="15">
        <v>614</v>
      </c>
      <c r="H16" s="15">
        <v>497</v>
      </c>
      <c r="I16" s="15">
        <v>25088</v>
      </c>
      <c r="J16" s="15">
        <v>24675</v>
      </c>
      <c r="K16" s="15">
        <v>65</v>
      </c>
      <c r="L16" s="15" t="s">
        <v>82</v>
      </c>
      <c r="M16" s="15">
        <v>2903</v>
      </c>
      <c r="N16" s="15" t="s">
        <v>118</v>
      </c>
    </row>
    <row r="17" spans="1:14" x14ac:dyDescent="0.3">
      <c r="A17" s="15" t="s">
        <v>119</v>
      </c>
      <c r="B17" s="15" t="s">
        <v>1</v>
      </c>
      <c r="C17" s="67">
        <v>45494</v>
      </c>
      <c r="D17" s="15" t="s">
        <v>79</v>
      </c>
      <c r="E17" s="15" t="s">
        <v>80</v>
      </c>
      <c r="F17" s="15">
        <v>1946</v>
      </c>
      <c r="G17" s="15">
        <v>686</v>
      </c>
      <c r="H17" s="15">
        <v>377</v>
      </c>
      <c r="I17" s="15">
        <v>23352</v>
      </c>
      <c r="J17" s="15">
        <v>22982</v>
      </c>
      <c r="K17" s="15">
        <v>213</v>
      </c>
      <c r="L17" s="15" t="s">
        <v>99</v>
      </c>
      <c r="M17" s="15">
        <v>3009</v>
      </c>
      <c r="N17" s="15" t="s">
        <v>118</v>
      </c>
    </row>
    <row r="18" spans="1:14" x14ac:dyDescent="0.3">
      <c r="A18" s="15" t="s">
        <v>119</v>
      </c>
      <c r="B18" s="15" t="s">
        <v>1</v>
      </c>
      <c r="C18" s="67">
        <v>45494</v>
      </c>
      <c r="D18" s="15" t="s">
        <v>79</v>
      </c>
      <c r="E18" s="15" t="s">
        <v>80</v>
      </c>
      <c r="F18" s="15">
        <v>1946</v>
      </c>
      <c r="G18" s="15">
        <v>686</v>
      </c>
      <c r="H18" s="15">
        <v>377</v>
      </c>
      <c r="I18" s="15">
        <v>23352</v>
      </c>
      <c r="J18" s="15">
        <v>22982</v>
      </c>
      <c r="K18" s="15">
        <v>213</v>
      </c>
      <c r="L18" s="15" t="s">
        <v>99</v>
      </c>
      <c r="M18" s="15">
        <v>3009</v>
      </c>
      <c r="N18" s="15" t="s">
        <v>81</v>
      </c>
    </row>
    <row r="19" spans="1:14" x14ac:dyDescent="0.3">
      <c r="A19" s="15" t="s">
        <v>122</v>
      </c>
      <c r="B19" s="15" t="s">
        <v>4</v>
      </c>
      <c r="C19" s="67">
        <v>45614</v>
      </c>
      <c r="D19" s="15" t="s">
        <v>102</v>
      </c>
      <c r="E19" s="15" t="s">
        <v>103</v>
      </c>
      <c r="F19" s="15">
        <v>1171</v>
      </c>
      <c r="G19" s="15">
        <v>286</v>
      </c>
      <c r="H19" s="15">
        <v>231</v>
      </c>
      <c r="I19" s="15">
        <v>22249</v>
      </c>
      <c r="J19" s="15">
        <v>21282</v>
      </c>
      <c r="K19" s="15">
        <v>114</v>
      </c>
      <c r="L19" s="15" t="s">
        <v>115</v>
      </c>
      <c r="M19" s="15">
        <v>1688</v>
      </c>
      <c r="N19" s="15" t="s">
        <v>87</v>
      </c>
    </row>
    <row r="20" spans="1:14" x14ac:dyDescent="0.3">
      <c r="A20" s="15" t="s">
        <v>124</v>
      </c>
      <c r="B20" s="15" t="s">
        <v>1</v>
      </c>
      <c r="C20" s="67">
        <v>45704</v>
      </c>
      <c r="D20" s="15" t="s">
        <v>94</v>
      </c>
      <c r="E20" s="15" t="s">
        <v>95</v>
      </c>
      <c r="F20" s="15">
        <v>4242</v>
      </c>
      <c r="G20" s="15">
        <v>555</v>
      </c>
      <c r="H20" s="15">
        <v>131</v>
      </c>
      <c r="I20" s="15">
        <v>33936</v>
      </c>
      <c r="J20" s="15">
        <v>33802</v>
      </c>
      <c r="K20" s="15">
        <v>265</v>
      </c>
      <c r="L20" s="15" t="s">
        <v>99</v>
      </c>
      <c r="M20" s="15">
        <v>4928</v>
      </c>
      <c r="N20" s="15" t="s">
        <v>81</v>
      </c>
    </row>
    <row r="21" spans="1:14" x14ac:dyDescent="0.3">
      <c r="A21" s="15" t="s">
        <v>124</v>
      </c>
      <c r="B21" s="15" t="s">
        <v>1</v>
      </c>
      <c r="C21" s="67">
        <v>45704</v>
      </c>
      <c r="D21" s="15" t="s">
        <v>94</v>
      </c>
      <c r="E21" s="15" t="s">
        <v>95</v>
      </c>
      <c r="F21" s="15">
        <v>4242</v>
      </c>
      <c r="G21" s="15">
        <v>555</v>
      </c>
      <c r="H21" s="15">
        <v>131</v>
      </c>
      <c r="I21" s="15">
        <v>33936</v>
      </c>
      <c r="J21" s="15">
        <v>33802</v>
      </c>
      <c r="K21" s="15">
        <v>265</v>
      </c>
      <c r="L21" s="15" t="s">
        <v>99</v>
      </c>
      <c r="M21" s="15">
        <v>4928</v>
      </c>
      <c r="N21" s="15" t="s">
        <v>87</v>
      </c>
    </row>
    <row r="22" spans="1:14" x14ac:dyDescent="0.3">
      <c r="A22" s="15" t="s">
        <v>127</v>
      </c>
      <c r="B22" s="15" t="s">
        <v>1</v>
      </c>
      <c r="C22" s="67">
        <v>45589</v>
      </c>
      <c r="D22" s="15" t="s">
        <v>129</v>
      </c>
      <c r="E22" s="15" t="s">
        <v>130</v>
      </c>
      <c r="F22" s="15">
        <v>3888</v>
      </c>
      <c r="G22" s="15">
        <v>604</v>
      </c>
      <c r="H22" s="15">
        <v>128</v>
      </c>
      <c r="I22" s="15">
        <v>77760</v>
      </c>
      <c r="J22" s="15">
        <v>77167</v>
      </c>
      <c r="K22" s="15">
        <v>20</v>
      </c>
      <c r="L22" s="15" t="s">
        <v>82</v>
      </c>
      <c r="M22" s="15">
        <v>4620</v>
      </c>
      <c r="N22" s="15" t="s">
        <v>87</v>
      </c>
    </row>
    <row r="23" spans="1:14" x14ac:dyDescent="0.3">
      <c r="A23" s="15" t="s">
        <v>127</v>
      </c>
      <c r="B23" s="15" t="s">
        <v>1</v>
      </c>
      <c r="C23" s="67">
        <v>45589</v>
      </c>
      <c r="D23" s="15" t="s">
        <v>129</v>
      </c>
      <c r="E23" s="15" t="s">
        <v>130</v>
      </c>
      <c r="F23" s="15">
        <v>3888</v>
      </c>
      <c r="G23" s="15">
        <v>604</v>
      </c>
      <c r="H23" s="15">
        <v>128</v>
      </c>
      <c r="I23" s="15">
        <v>77760</v>
      </c>
      <c r="J23" s="15">
        <v>77167</v>
      </c>
      <c r="K23" s="15">
        <v>20</v>
      </c>
      <c r="L23" s="15" t="s">
        <v>82</v>
      </c>
      <c r="M23" s="15">
        <v>4620</v>
      </c>
      <c r="N23" s="15" t="s">
        <v>137</v>
      </c>
    </row>
    <row r="24" spans="1:14" x14ac:dyDescent="0.3">
      <c r="A24" s="15" t="s">
        <v>132</v>
      </c>
      <c r="B24" s="15" t="s">
        <v>1</v>
      </c>
      <c r="C24" s="67">
        <v>45530</v>
      </c>
      <c r="D24" s="15" t="s">
        <v>85</v>
      </c>
      <c r="E24" s="15" t="s">
        <v>86</v>
      </c>
      <c r="F24" s="15">
        <v>3452</v>
      </c>
      <c r="G24" s="15">
        <v>377</v>
      </c>
      <c r="H24" s="15">
        <v>360</v>
      </c>
      <c r="I24" s="15">
        <v>55232</v>
      </c>
      <c r="J24" s="15">
        <v>55075</v>
      </c>
      <c r="K24" s="15">
        <v>87</v>
      </c>
      <c r="L24" s="15" t="s">
        <v>99</v>
      </c>
      <c r="M24" s="15">
        <v>4189</v>
      </c>
      <c r="N24" s="15" t="s">
        <v>81</v>
      </c>
    </row>
    <row r="25" spans="1:14" x14ac:dyDescent="0.3">
      <c r="A25" s="15" t="s">
        <v>132</v>
      </c>
      <c r="B25" s="15" t="s">
        <v>1</v>
      </c>
      <c r="C25" s="67">
        <v>45530</v>
      </c>
      <c r="D25" s="15" t="s">
        <v>85</v>
      </c>
      <c r="E25" s="15" t="s">
        <v>86</v>
      </c>
      <c r="F25" s="15">
        <v>3452</v>
      </c>
      <c r="G25" s="15">
        <v>377</v>
      </c>
      <c r="H25" s="15">
        <v>360</v>
      </c>
      <c r="I25" s="15">
        <v>55232</v>
      </c>
      <c r="J25" s="15">
        <v>55075</v>
      </c>
      <c r="K25" s="15">
        <v>87</v>
      </c>
      <c r="L25" s="15" t="s">
        <v>99</v>
      </c>
      <c r="M25" s="15">
        <v>4189</v>
      </c>
      <c r="N25" s="15" t="s">
        <v>137</v>
      </c>
    </row>
    <row r="26" spans="1:14" x14ac:dyDescent="0.3">
      <c r="A26" s="15" t="s">
        <v>135</v>
      </c>
      <c r="B26" s="15" t="s">
        <v>1</v>
      </c>
      <c r="C26" s="67">
        <v>45782</v>
      </c>
      <c r="D26" s="15" t="s">
        <v>85</v>
      </c>
      <c r="E26" s="15" t="s">
        <v>86</v>
      </c>
      <c r="F26" s="15">
        <v>4441</v>
      </c>
      <c r="G26" s="15">
        <v>511</v>
      </c>
      <c r="H26" s="15">
        <v>70</v>
      </c>
      <c r="I26" s="15">
        <v>53292</v>
      </c>
      <c r="J26" s="15">
        <v>53082</v>
      </c>
      <c r="K26" s="15">
        <v>159</v>
      </c>
      <c r="L26" s="15" t="s">
        <v>99</v>
      </c>
      <c r="M26" s="15">
        <v>5022</v>
      </c>
      <c r="N26" s="15" t="s">
        <v>137</v>
      </c>
    </row>
    <row r="27" spans="1:14" x14ac:dyDescent="0.3">
      <c r="A27" s="15" t="s">
        <v>138</v>
      </c>
      <c r="B27" s="15" t="s">
        <v>2</v>
      </c>
      <c r="C27" s="67">
        <v>45523</v>
      </c>
      <c r="D27" s="15" t="s">
        <v>79</v>
      </c>
      <c r="E27" s="15" t="s">
        <v>80</v>
      </c>
      <c r="F27" s="15">
        <v>3000</v>
      </c>
      <c r="G27" s="15">
        <v>382</v>
      </c>
      <c r="H27" s="15">
        <v>325</v>
      </c>
      <c r="I27" s="15">
        <v>36000</v>
      </c>
      <c r="J27" s="15">
        <v>35819</v>
      </c>
      <c r="K27" s="15">
        <v>19</v>
      </c>
      <c r="L27" s="15" t="s">
        <v>88</v>
      </c>
      <c r="M27" s="15">
        <v>3707</v>
      </c>
      <c r="N27" s="15" t="s">
        <v>118</v>
      </c>
    </row>
    <row r="28" spans="1:14" x14ac:dyDescent="0.3">
      <c r="A28" s="15" t="s">
        <v>140</v>
      </c>
      <c r="B28" s="15" t="s">
        <v>2</v>
      </c>
      <c r="C28" s="67">
        <v>45466</v>
      </c>
      <c r="D28" s="15" t="s">
        <v>129</v>
      </c>
      <c r="E28" s="15" t="s">
        <v>130</v>
      </c>
      <c r="F28" s="15">
        <v>1071</v>
      </c>
      <c r="G28" s="15">
        <v>519</v>
      </c>
      <c r="H28" s="15">
        <v>22</v>
      </c>
      <c r="I28" s="15">
        <v>16065</v>
      </c>
      <c r="J28" s="15">
        <v>15865</v>
      </c>
      <c r="K28" s="15">
        <v>103</v>
      </c>
      <c r="L28" s="15" t="s">
        <v>99</v>
      </c>
      <c r="M28" s="15">
        <v>1612</v>
      </c>
      <c r="N28" s="15" t="s">
        <v>81</v>
      </c>
    </row>
    <row r="29" spans="1:14" x14ac:dyDescent="0.3">
      <c r="A29" s="15" t="s">
        <v>140</v>
      </c>
      <c r="B29" s="15" t="s">
        <v>2</v>
      </c>
      <c r="C29" s="67">
        <v>45466</v>
      </c>
      <c r="D29" s="15" t="s">
        <v>129</v>
      </c>
      <c r="E29" s="15" t="s">
        <v>130</v>
      </c>
      <c r="F29" s="15">
        <v>1071</v>
      </c>
      <c r="G29" s="15">
        <v>519</v>
      </c>
      <c r="H29" s="15">
        <v>22</v>
      </c>
      <c r="I29" s="15">
        <v>16065</v>
      </c>
      <c r="J29" s="15">
        <v>15865</v>
      </c>
      <c r="K29" s="15">
        <v>103</v>
      </c>
      <c r="L29" s="15" t="s">
        <v>99</v>
      </c>
      <c r="M29" s="15">
        <v>1612</v>
      </c>
      <c r="N29" s="15" t="s">
        <v>118</v>
      </c>
    </row>
    <row r="30" spans="1:14" x14ac:dyDescent="0.3">
      <c r="A30" s="15" t="s">
        <v>143</v>
      </c>
      <c r="B30" s="15" t="s">
        <v>2</v>
      </c>
      <c r="C30" s="67">
        <v>45544</v>
      </c>
      <c r="D30" s="15" t="s">
        <v>102</v>
      </c>
      <c r="E30" s="15" t="s">
        <v>103</v>
      </c>
      <c r="F30" s="15">
        <v>4054</v>
      </c>
      <c r="G30" s="15">
        <v>488</v>
      </c>
      <c r="H30" s="15">
        <v>373</v>
      </c>
      <c r="I30" s="15">
        <v>77026</v>
      </c>
      <c r="J30" s="15">
        <v>76881</v>
      </c>
      <c r="K30" s="15">
        <v>25</v>
      </c>
      <c r="L30" s="15" t="s">
        <v>99</v>
      </c>
      <c r="M30" s="15">
        <v>4915</v>
      </c>
      <c r="N30" s="15" t="s">
        <v>87</v>
      </c>
    </row>
    <row r="31" spans="1:14" x14ac:dyDescent="0.3">
      <c r="A31" s="15" t="s">
        <v>143</v>
      </c>
      <c r="B31" s="15" t="s">
        <v>2</v>
      </c>
      <c r="C31" s="67">
        <v>45544</v>
      </c>
      <c r="D31" s="15" t="s">
        <v>102</v>
      </c>
      <c r="E31" s="15" t="s">
        <v>103</v>
      </c>
      <c r="F31" s="15">
        <v>4054</v>
      </c>
      <c r="G31" s="15">
        <v>488</v>
      </c>
      <c r="H31" s="15">
        <v>373</v>
      </c>
      <c r="I31" s="15">
        <v>77026</v>
      </c>
      <c r="J31" s="15">
        <v>76881</v>
      </c>
      <c r="K31" s="15">
        <v>25</v>
      </c>
      <c r="L31" s="15" t="s">
        <v>99</v>
      </c>
      <c r="M31" s="15">
        <v>4915</v>
      </c>
      <c r="N31" s="15" t="s">
        <v>81</v>
      </c>
    </row>
    <row r="32" spans="1:14" x14ac:dyDescent="0.3">
      <c r="A32" s="15" t="s">
        <v>145</v>
      </c>
      <c r="B32" s="15" t="s">
        <v>2</v>
      </c>
      <c r="C32" s="67">
        <v>45661</v>
      </c>
      <c r="D32" s="15" t="s">
        <v>79</v>
      </c>
      <c r="E32" s="15" t="s">
        <v>80</v>
      </c>
      <c r="F32" s="15">
        <v>4838</v>
      </c>
      <c r="G32" s="15">
        <v>640</v>
      </c>
      <c r="H32" s="15">
        <v>128</v>
      </c>
      <c r="I32" s="15">
        <v>72570</v>
      </c>
      <c r="J32" s="15">
        <v>72396</v>
      </c>
      <c r="K32" s="15">
        <v>83</v>
      </c>
      <c r="L32" s="15" t="s">
        <v>99</v>
      </c>
      <c r="M32" s="15">
        <v>5606</v>
      </c>
      <c r="N32" s="15" t="s">
        <v>118</v>
      </c>
    </row>
    <row r="33" spans="1:14" x14ac:dyDescent="0.3">
      <c r="A33" s="15" t="s">
        <v>145</v>
      </c>
      <c r="B33" s="15" t="s">
        <v>2</v>
      </c>
      <c r="C33" s="67">
        <v>45661</v>
      </c>
      <c r="D33" s="15" t="s">
        <v>79</v>
      </c>
      <c r="E33" s="15" t="s">
        <v>80</v>
      </c>
      <c r="F33" s="15">
        <v>4838</v>
      </c>
      <c r="G33" s="15">
        <v>640</v>
      </c>
      <c r="H33" s="15">
        <v>128</v>
      </c>
      <c r="I33" s="15">
        <v>72570</v>
      </c>
      <c r="J33" s="15">
        <v>72396</v>
      </c>
      <c r="K33" s="15">
        <v>83</v>
      </c>
      <c r="L33" s="15" t="s">
        <v>99</v>
      </c>
      <c r="M33" s="15">
        <v>5606</v>
      </c>
      <c r="N33" s="15" t="s">
        <v>104</v>
      </c>
    </row>
    <row r="34" spans="1:14" x14ac:dyDescent="0.3">
      <c r="A34" s="15" t="s">
        <v>148</v>
      </c>
      <c r="B34" s="15" t="s">
        <v>1</v>
      </c>
      <c r="C34" s="67">
        <v>45715</v>
      </c>
      <c r="D34" s="15" t="s">
        <v>85</v>
      </c>
      <c r="E34" s="15" t="s">
        <v>86</v>
      </c>
      <c r="F34" s="15">
        <v>1570</v>
      </c>
      <c r="G34" s="15">
        <v>187</v>
      </c>
      <c r="H34" s="15">
        <v>260</v>
      </c>
      <c r="I34" s="15">
        <v>25120</v>
      </c>
      <c r="J34" s="15">
        <v>24613</v>
      </c>
      <c r="K34" s="15">
        <v>133</v>
      </c>
      <c r="L34" s="15" t="s">
        <v>115</v>
      </c>
      <c r="M34" s="15">
        <v>2017</v>
      </c>
      <c r="N34" s="15" t="s">
        <v>81</v>
      </c>
    </row>
    <row r="35" spans="1:14" x14ac:dyDescent="0.3">
      <c r="A35" s="15" t="s">
        <v>150</v>
      </c>
      <c r="B35" s="15" t="s">
        <v>1</v>
      </c>
      <c r="C35" s="67">
        <v>45602</v>
      </c>
      <c r="D35" s="15" t="s">
        <v>129</v>
      </c>
      <c r="E35" s="15" t="s">
        <v>130</v>
      </c>
      <c r="F35" s="15">
        <v>1606</v>
      </c>
      <c r="G35" s="15">
        <v>547</v>
      </c>
      <c r="H35" s="15">
        <v>316</v>
      </c>
      <c r="I35" s="15">
        <v>32120</v>
      </c>
      <c r="J35" s="15">
        <v>31736</v>
      </c>
      <c r="K35" s="15">
        <v>225</v>
      </c>
      <c r="L35" s="15" t="s">
        <v>99</v>
      </c>
      <c r="M35" s="15">
        <v>2469</v>
      </c>
      <c r="N35" s="15" t="s">
        <v>81</v>
      </c>
    </row>
    <row r="36" spans="1:14" x14ac:dyDescent="0.3">
      <c r="A36" s="15" t="s">
        <v>152</v>
      </c>
      <c r="B36" s="15" t="s">
        <v>1</v>
      </c>
      <c r="C36" s="67">
        <v>45680</v>
      </c>
      <c r="D36" s="15" t="s">
        <v>129</v>
      </c>
      <c r="E36" s="15" t="s">
        <v>130</v>
      </c>
      <c r="F36" s="15">
        <v>3961</v>
      </c>
      <c r="G36" s="15">
        <v>761</v>
      </c>
      <c r="H36" s="15">
        <v>131</v>
      </c>
      <c r="I36" s="15">
        <v>67337</v>
      </c>
      <c r="J36" s="15">
        <v>66615</v>
      </c>
      <c r="K36" s="15">
        <v>161</v>
      </c>
      <c r="L36" s="15" t="s">
        <v>88</v>
      </c>
      <c r="M36" s="15">
        <v>4853</v>
      </c>
      <c r="N36" s="15" t="s">
        <v>104</v>
      </c>
    </row>
    <row r="37" spans="1:14" x14ac:dyDescent="0.3">
      <c r="A37" s="15" t="s">
        <v>154</v>
      </c>
      <c r="B37" s="15" t="s">
        <v>3</v>
      </c>
      <c r="C37" s="67">
        <v>45757</v>
      </c>
      <c r="D37" s="15" t="s">
        <v>102</v>
      </c>
      <c r="E37" s="15" t="s">
        <v>103</v>
      </c>
      <c r="F37" s="15">
        <v>3128</v>
      </c>
      <c r="G37" s="15">
        <v>211</v>
      </c>
      <c r="H37" s="15">
        <v>197</v>
      </c>
      <c r="I37" s="15">
        <v>59432</v>
      </c>
      <c r="J37" s="15">
        <v>59182</v>
      </c>
      <c r="K37" s="15">
        <v>238</v>
      </c>
      <c r="L37" s="15" t="s">
        <v>82</v>
      </c>
      <c r="M37" s="15">
        <v>3536</v>
      </c>
      <c r="N37" s="15" t="s">
        <v>118</v>
      </c>
    </row>
    <row r="38" spans="1:14" x14ac:dyDescent="0.3">
      <c r="A38" s="15" t="s">
        <v>154</v>
      </c>
      <c r="B38" s="15" t="s">
        <v>3</v>
      </c>
      <c r="C38" s="67">
        <v>45757</v>
      </c>
      <c r="D38" s="15" t="s">
        <v>102</v>
      </c>
      <c r="E38" s="15" t="s">
        <v>103</v>
      </c>
      <c r="F38" s="15">
        <v>3128</v>
      </c>
      <c r="G38" s="15">
        <v>211</v>
      </c>
      <c r="H38" s="15">
        <v>197</v>
      </c>
      <c r="I38" s="15">
        <v>59432</v>
      </c>
      <c r="J38" s="15">
        <v>59182</v>
      </c>
      <c r="K38" s="15">
        <v>238</v>
      </c>
      <c r="L38" s="15" t="s">
        <v>82</v>
      </c>
      <c r="M38" s="15">
        <v>3536</v>
      </c>
      <c r="N38" s="15" t="s">
        <v>81</v>
      </c>
    </row>
    <row r="39" spans="1:14" x14ac:dyDescent="0.3">
      <c r="A39" s="15" t="s">
        <v>156</v>
      </c>
      <c r="B39" s="15" t="s">
        <v>4</v>
      </c>
      <c r="C39" s="67">
        <v>45752</v>
      </c>
      <c r="D39" s="15" t="s">
        <v>79</v>
      </c>
      <c r="E39" s="15" t="s">
        <v>80</v>
      </c>
      <c r="F39" s="15">
        <v>3009</v>
      </c>
      <c r="G39" s="15">
        <v>413</v>
      </c>
      <c r="H39" s="15">
        <v>358</v>
      </c>
      <c r="I39" s="15">
        <v>42126</v>
      </c>
      <c r="J39" s="15">
        <v>41309</v>
      </c>
      <c r="K39" s="15">
        <v>211</v>
      </c>
      <c r="L39" s="15" t="s">
        <v>88</v>
      </c>
      <c r="M39" s="15">
        <v>3780</v>
      </c>
      <c r="N39" s="15" t="s">
        <v>81</v>
      </c>
    </row>
    <row r="40" spans="1:14" x14ac:dyDescent="0.3">
      <c r="A40" s="15" t="s">
        <v>158</v>
      </c>
      <c r="B40" s="15" t="s">
        <v>4</v>
      </c>
      <c r="C40" s="67">
        <v>45552</v>
      </c>
      <c r="D40" s="15" t="s">
        <v>85</v>
      </c>
      <c r="E40" s="15" t="s">
        <v>86</v>
      </c>
      <c r="F40" s="15">
        <v>2076</v>
      </c>
      <c r="G40" s="15">
        <v>195</v>
      </c>
      <c r="H40" s="15">
        <v>104</v>
      </c>
      <c r="I40" s="15">
        <v>33216</v>
      </c>
      <c r="J40" s="15">
        <v>32244</v>
      </c>
      <c r="K40" s="15">
        <v>51</v>
      </c>
      <c r="L40" s="15" t="s">
        <v>115</v>
      </c>
      <c r="M40" s="15">
        <v>2375</v>
      </c>
      <c r="N40" s="15" t="s">
        <v>104</v>
      </c>
    </row>
    <row r="41" spans="1:14" x14ac:dyDescent="0.3">
      <c r="A41" s="15" t="s">
        <v>160</v>
      </c>
      <c r="B41" s="15" t="s">
        <v>2</v>
      </c>
      <c r="C41" s="67">
        <v>45720</v>
      </c>
      <c r="D41" s="15" t="s">
        <v>129</v>
      </c>
      <c r="E41" s="15" t="s">
        <v>130</v>
      </c>
      <c r="F41" s="15">
        <v>432</v>
      </c>
      <c r="G41" s="15">
        <v>624</v>
      </c>
      <c r="H41" s="15">
        <v>123</v>
      </c>
      <c r="I41" s="15">
        <v>6912</v>
      </c>
      <c r="J41" s="15">
        <v>6259</v>
      </c>
      <c r="K41" s="15">
        <v>79</v>
      </c>
      <c r="L41" s="15" t="s">
        <v>88</v>
      </c>
      <c r="M41" s="15">
        <v>1179</v>
      </c>
      <c r="N41" s="15" t="s">
        <v>81</v>
      </c>
    </row>
    <row r="42" spans="1:14" x14ac:dyDescent="0.3">
      <c r="A42" s="15" t="s">
        <v>160</v>
      </c>
      <c r="B42" s="15" t="s">
        <v>2</v>
      </c>
      <c r="C42" s="67">
        <v>45720</v>
      </c>
      <c r="D42" s="15" t="s">
        <v>129</v>
      </c>
      <c r="E42" s="15" t="s">
        <v>130</v>
      </c>
      <c r="F42" s="15">
        <v>432</v>
      </c>
      <c r="G42" s="15">
        <v>624</v>
      </c>
      <c r="H42" s="15">
        <v>123</v>
      </c>
      <c r="I42" s="15">
        <v>6912</v>
      </c>
      <c r="J42" s="15">
        <v>6259</v>
      </c>
      <c r="K42" s="15">
        <v>79</v>
      </c>
      <c r="L42" s="15" t="s">
        <v>88</v>
      </c>
      <c r="M42" s="15">
        <v>1179</v>
      </c>
      <c r="N42" s="15" t="s">
        <v>104</v>
      </c>
    </row>
    <row r="43" spans="1:14" x14ac:dyDescent="0.3">
      <c r="A43" s="15" t="s">
        <v>163</v>
      </c>
      <c r="B43" s="15" t="s">
        <v>2</v>
      </c>
      <c r="C43" s="67">
        <v>45688</v>
      </c>
      <c r="D43" s="15" t="s">
        <v>102</v>
      </c>
      <c r="E43" s="15" t="s">
        <v>103</v>
      </c>
      <c r="F43" s="15">
        <v>2566</v>
      </c>
      <c r="G43" s="15">
        <v>118</v>
      </c>
      <c r="H43" s="15">
        <v>37</v>
      </c>
      <c r="I43" s="15">
        <v>12830</v>
      </c>
      <c r="J43" s="15">
        <v>12264</v>
      </c>
      <c r="K43" s="15">
        <v>221</v>
      </c>
      <c r="L43" s="15" t="s">
        <v>99</v>
      </c>
      <c r="M43" s="15">
        <v>2721</v>
      </c>
      <c r="N43" s="15" t="s">
        <v>104</v>
      </c>
    </row>
    <row r="44" spans="1:14" x14ac:dyDescent="0.3">
      <c r="A44" s="15" t="s">
        <v>163</v>
      </c>
      <c r="B44" s="15" t="s">
        <v>2</v>
      </c>
      <c r="C44" s="67">
        <v>45688</v>
      </c>
      <c r="D44" s="15" t="s">
        <v>102</v>
      </c>
      <c r="E44" s="15" t="s">
        <v>103</v>
      </c>
      <c r="F44" s="15">
        <v>2566</v>
      </c>
      <c r="G44" s="15">
        <v>118</v>
      </c>
      <c r="H44" s="15">
        <v>37</v>
      </c>
      <c r="I44" s="15">
        <v>12830</v>
      </c>
      <c r="J44" s="15">
        <v>12264</v>
      </c>
      <c r="K44" s="15">
        <v>221</v>
      </c>
      <c r="L44" s="15" t="s">
        <v>99</v>
      </c>
      <c r="M44" s="15">
        <v>2721</v>
      </c>
      <c r="N44" s="15" t="s">
        <v>87</v>
      </c>
    </row>
    <row r="45" spans="1:14" x14ac:dyDescent="0.3">
      <c r="A45" s="15" t="s">
        <v>166</v>
      </c>
      <c r="B45" s="15" t="s">
        <v>2</v>
      </c>
      <c r="C45" s="67">
        <v>45713</v>
      </c>
      <c r="D45" s="15" t="s">
        <v>129</v>
      </c>
      <c r="E45" s="15" t="s">
        <v>130</v>
      </c>
      <c r="F45" s="15">
        <v>3095</v>
      </c>
      <c r="G45" s="15">
        <v>39</v>
      </c>
      <c r="H45" s="15">
        <v>78</v>
      </c>
      <c r="I45" s="15">
        <v>55710</v>
      </c>
      <c r="J45" s="15">
        <v>54808</v>
      </c>
      <c r="K45" s="15">
        <v>93</v>
      </c>
      <c r="L45" s="15" t="s">
        <v>115</v>
      </c>
      <c r="M45" s="15">
        <v>3212</v>
      </c>
      <c r="N45" s="15" t="s">
        <v>81</v>
      </c>
    </row>
    <row r="46" spans="1:14" x14ac:dyDescent="0.3">
      <c r="A46" s="15" t="s">
        <v>168</v>
      </c>
      <c r="B46" s="15" t="s">
        <v>2</v>
      </c>
      <c r="C46" s="67">
        <v>45642</v>
      </c>
      <c r="D46" s="15" t="s">
        <v>85</v>
      </c>
      <c r="E46" s="15" t="s">
        <v>86</v>
      </c>
      <c r="F46" s="15">
        <v>438</v>
      </c>
      <c r="G46" s="15">
        <v>153</v>
      </c>
      <c r="H46" s="15">
        <v>275</v>
      </c>
      <c r="I46" s="15">
        <v>3066</v>
      </c>
      <c r="J46" s="15">
        <v>2701</v>
      </c>
      <c r="K46" s="15">
        <v>282</v>
      </c>
      <c r="L46" s="15" t="s">
        <v>115</v>
      </c>
      <c r="M46" s="15">
        <v>866</v>
      </c>
      <c r="N46" s="15" t="s">
        <v>104</v>
      </c>
    </row>
    <row r="47" spans="1:14" x14ac:dyDescent="0.3">
      <c r="A47" s="15" t="s">
        <v>170</v>
      </c>
      <c r="B47" s="15" t="s">
        <v>3</v>
      </c>
      <c r="C47" s="67">
        <v>45504</v>
      </c>
      <c r="D47" s="15" t="s">
        <v>102</v>
      </c>
      <c r="E47" s="15" t="s">
        <v>103</v>
      </c>
      <c r="F47" s="15">
        <v>2278</v>
      </c>
      <c r="G47" s="15">
        <v>10</v>
      </c>
      <c r="H47" s="15">
        <v>321</v>
      </c>
      <c r="I47" s="15">
        <v>13668</v>
      </c>
      <c r="J47" s="15">
        <v>12676</v>
      </c>
      <c r="K47" s="15">
        <v>275</v>
      </c>
      <c r="L47" s="15" t="s">
        <v>115</v>
      </c>
      <c r="M47" s="15">
        <v>2609</v>
      </c>
      <c r="N47" s="15" t="s">
        <v>104</v>
      </c>
    </row>
    <row r="48" spans="1:14" x14ac:dyDescent="0.3">
      <c r="A48" s="15" t="s">
        <v>170</v>
      </c>
      <c r="B48" s="15" t="s">
        <v>3</v>
      </c>
      <c r="C48" s="67">
        <v>45504</v>
      </c>
      <c r="D48" s="15" t="s">
        <v>102</v>
      </c>
      <c r="E48" s="15" t="s">
        <v>103</v>
      </c>
      <c r="F48" s="15">
        <v>2278</v>
      </c>
      <c r="G48" s="15">
        <v>10</v>
      </c>
      <c r="H48" s="15">
        <v>321</v>
      </c>
      <c r="I48" s="15">
        <v>13668</v>
      </c>
      <c r="J48" s="15">
        <v>12676</v>
      </c>
      <c r="K48" s="15">
        <v>275</v>
      </c>
      <c r="L48" s="15" t="s">
        <v>115</v>
      </c>
      <c r="M48" s="15">
        <v>2609</v>
      </c>
      <c r="N48" s="15" t="s">
        <v>87</v>
      </c>
    </row>
    <row r="49" spans="1:14" x14ac:dyDescent="0.3">
      <c r="A49" s="15" t="s">
        <v>172</v>
      </c>
      <c r="B49" s="15" t="s">
        <v>1</v>
      </c>
      <c r="C49" s="67">
        <v>45525</v>
      </c>
      <c r="D49" s="15" t="s">
        <v>109</v>
      </c>
      <c r="E49" s="15" t="s">
        <v>110</v>
      </c>
      <c r="F49" s="15">
        <v>1407</v>
      </c>
      <c r="G49" s="15">
        <v>400</v>
      </c>
      <c r="H49" s="15">
        <v>351</v>
      </c>
      <c r="I49" s="15">
        <v>16884</v>
      </c>
      <c r="J49" s="15">
        <v>15954</v>
      </c>
      <c r="K49" s="15">
        <v>113</v>
      </c>
      <c r="L49" s="15" t="s">
        <v>99</v>
      </c>
      <c r="M49" s="15">
        <v>2158</v>
      </c>
      <c r="N49" s="15" t="s">
        <v>87</v>
      </c>
    </row>
    <row r="50" spans="1:14" x14ac:dyDescent="0.3">
      <c r="A50" s="15" t="s">
        <v>172</v>
      </c>
      <c r="B50" s="15" t="s">
        <v>1</v>
      </c>
      <c r="C50" s="67">
        <v>45525</v>
      </c>
      <c r="D50" s="15" t="s">
        <v>109</v>
      </c>
      <c r="E50" s="15" t="s">
        <v>110</v>
      </c>
      <c r="F50" s="15">
        <v>1407</v>
      </c>
      <c r="G50" s="15">
        <v>400</v>
      </c>
      <c r="H50" s="15">
        <v>351</v>
      </c>
      <c r="I50" s="15">
        <v>16884</v>
      </c>
      <c r="J50" s="15">
        <v>15954</v>
      </c>
      <c r="K50" s="15">
        <v>113</v>
      </c>
      <c r="L50" s="15" t="s">
        <v>99</v>
      </c>
      <c r="M50" s="15">
        <v>2158</v>
      </c>
      <c r="N50" s="15" t="s">
        <v>137</v>
      </c>
    </row>
    <row r="51" spans="1:14" x14ac:dyDescent="0.3">
      <c r="A51" s="15" t="s">
        <v>174</v>
      </c>
      <c r="B51" s="15" t="s">
        <v>1</v>
      </c>
      <c r="C51" s="67">
        <v>45742</v>
      </c>
      <c r="D51" s="15" t="s">
        <v>85</v>
      </c>
      <c r="E51" s="15" t="s">
        <v>86</v>
      </c>
      <c r="F51" s="15">
        <v>1652</v>
      </c>
      <c r="G51" s="15">
        <v>89</v>
      </c>
      <c r="H51" s="15">
        <v>357</v>
      </c>
      <c r="I51" s="15">
        <v>29736</v>
      </c>
      <c r="J51" s="15">
        <v>28771</v>
      </c>
      <c r="K51" s="15">
        <v>215</v>
      </c>
      <c r="L51" s="15" t="s">
        <v>88</v>
      </c>
      <c r="M51" s="15">
        <v>2098</v>
      </c>
      <c r="N51" s="15" t="s">
        <v>104</v>
      </c>
    </row>
    <row r="52" spans="1:14" x14ac:dyDescent="0.3">
      <c r="A52" s="15" t="s">
        <v>174</v>
      </c>
      <c r="B52" s="15" t="s">
        <v>1</v>
      </c>
      <c r="C52" s="67">
        <v>45742</v>
      </c>
      <c r="D52" s="15" t="s">
        <v>85</v>
      </c>
      <c r="E52" s="15" t="s">
        <v>86</v>
      </c>
      <c r="F52" s="15">
        <v>1652</v>
      </c>
      <c r="G52" s="15">
        <v>89</v>
      </c>
      <c r="H52" s="15">
        <v>357</v>
      </c>
      <c r="I52" s="15">
        <v>29736</v>
      </c>
      <c r="J52" s="15">
        <v>28771</v>
      </c>
      <c r="K52" s="15">
        <v>215</v>
      </c>
      <c r="L52" s="15" t="s">
        <v>88</v>
      </c>
      <c r="M52" s="15">
        <v>2098</v>
      </c>
      <c r="N52" s="15" t="s">
        <v>137</v>
      </c>
    </row>
    <row r="53" spans="1:14" x14ac:dyDescent="0.3">
      <c r="A53" s="15" t="s">
        <v>177</v>
      </c>
      <c r="B53" s="15" t="s">
        <v>2</v>
      </c>
      <c r="C53" s="67">
        <v>45626</v>
      </c>
      <c r="D53" s="15" t="s">
        <v>129</v>
      </c>
      <c r="E53" s="15" t="s">
        <v>130</v>
      </c>
      <c r="F53" s="15">
        <v>3775</v>
      </c>
      <c r="G53" s="15">
        <v>16</v>
      </c>
      <c r="H53" s="15">
        <v>239</v>
      </c>
      <c r="I53" s="15">
        <v>33975</v>
      </c>
      <c r="J53" s="15">
        <v>33310</v>
      </c>
      <c r="K53" s="15">
        <v>271</v>
      </c>
      <c r="L53" s="15" t="s">
        <v>99</v>
      </c>
      <c r="M53" s="15">
        <v>4030</v>
      </c>
      <c r="N53" s="15" t="s">
        <v>118</v>
      </c>
    </row>
    <row r="54" spans="1:14" x14ac:dyDescent="0.3">
      <c r="A54" s="15" t="s">
        <v>177</v>
      </c>
      <c r="B54" s="15" t="s">
        <v>2</v>
      </c>
      <c r="C54" s="67">
        <v>45626</v>
      </c>
      <c r="D54" s="15" t="s">
        <v>129</v>
      </c>
      <c r="E54" s="15" t="s">
        <v>130</v>
      </c>
      <c r="F54" s="15">
        <v>3775</v>
      </c>
      <c r="G54" s="15">
        <v>16</v>
      </c>
      <c r="H54" s="15">
        <v>239</v>
      </c>
      <c r="I54" s="15">
        <v>33975</v>
      </c>
      <c r="J54" s="15">
        <v>33310</v>
      </c>
      <c r="K54" s="15">
        <v>271</v>
      </c>
      <c r="L54" s="15" t="s">
        <v>99</v>
      </c>
      <c r="M54" s="15">
        <v>4030</v>
      </c>
      <c r="N54" s="15" t="s">
        <v>81</v>
      </c>
    </row>
    <row r="55" spans="1:14" x14ac:dyDescent="0.3">
      <c r="A55" s="15" t="s">
        <v>179</v>
      </c>
      <c r="B55" s="15" t="s">
        <v>2</v>
      </c>
      <c r="C55" s="67">
        <v>45766</v>
      </c>
      <c r="D55" s="15" t="s">
        <v>94</v>
      </c>
      <c r="E55" s="15" t="s">
        <v>95</v>
      </c>
      <c r="F55" s="15">
        <v>4518</v>
      </c>
      <c r="G55" s="15">
        <v>285</v>
      </c>
      <c r="H55" s="15">
        <v>383</v>
      </c>
      <c r="I55" s="15">
        <v>67770</v>
      </c>
      <c r="J55" s="15">
        <v>67621</v>
      </c>
      <c r="K55" s="15">
        <v>31</v>
      </c>
      <c r="L55" s="15" t="s">
        <v>88</v>
      </c>
      <c r="M55" s="15">
        <v>5186</v>
      </c>
      <c r="N55" s="15" t="s">
        <v>137</v>
      </c>
    </row>
    <row r="56" spans="1:14" x14ac:dyDescent="0.3">
      <c r="A56" s="15" t="s">
        <v>181</v>
      </c>
      <c r="B56" s="15" t="s">
        <v>1</v>
      </c>
      <c r="C56" s="67">
        <v>45663</v>
      </c>
      <c r="D56" s="15" t="s">
        <v>102</v>
      </c>
      <c r="E56" s="15" t="s">
        <v>103</v>
      </c>
      <c r="F56" s="15">
        <v>3024</v>
      </c>
      <c r="G56" s="15">
        <v>925</v>
      </c>
      <c r="H56" s="15">
        <v>350</v>
      </c>
      <c r="I56" s="15">
        <v>24192</v>
      </c>
      <c r="J56" s="15">
        <v>23518</v>
      </c>
      <c r="K56" s="15">
        <v>36</v>
      </c>
      <c r="L56" s="15" t="s">
        <v>99</v>
      </c>
      <c r="M56" s="15">
        <v>4299</v>
      </c>
      <c r="N56" s="15" t="s">
        <v>81</v>
      </c>
    </row>
    <row r="57" spans="1:14" x14ac:dyDescent="0.3">
      <c r="A57" s="15" t="s">
        <v>183</v>
      </c>
      <c r="B57" s="15" t="s">
        <v>4</v>
      </c>
      <c r="C57" s="67">
        <v>45705</v>
      </c>
      <c r="D57" s="15" t="s">
        <v>79</v>
      </c>
      <c r="E57" s="15" t="s">
        <v>80</v>
      </c>
      <c r="F57" s="15">
        <v>3138</v>
      </c>
      <c r="G57" s="15">
        <v>123</v>
      </c>
      <c r="H57" s="15">
        <v>291</v>
      </c>
      <c r="I57" s="15">
        <v>28242</v>
      </c>
      <c r="J57" s="15">
        <v>27550</v>
      </c>
      <c r="K57" s="15">
        <v>87</v>
      </c>
      <c r="L57" s="15" t="s">
        <v>115</v>
      </c>
      <c r="M57" s="15">
        <v>3552</v>
      </c>
      <c r="N57" s="15" t="s">
        <v>137</v>
      </c>
    </row>
    <row r="58" spans="1:14" x14ac:dyDescent="0.3">
      <c r="A58" s="15" t="s">
        <v>185</v>
      </c>
      <c r="B58" s="15" t="s">
        <v>1</v>
      </c>
      <c r="C58" s="67">
        <v>45621</v>
      </c>
      <c r="D58" s="15" t="s">
        <v>109</v>
      </c>
      <c r="E58" s="15" t="s">
        <v>110</v>
      </c>
      <c r="F58" s="15">
        <v>3564</v>
      </c>
      <c r="G58" s="15">
        <v>629</v>
      </c>
      <c r="H58" s="15">
        <v>177</v>
      </c>
      <c r="I58" s="15">
        <v>60588</v>
      </c>
      <c r="J58" s="15">
        <v>59627</v>
      </c>
      <c r="K58" s="15">
        <v>92</v>
      </c>
      <c r="L58" s="15" t="s">
        <v>99</v>
      </c>
      <c r="M58" s="15">
        <v>4370</v>
      </c>
      <c r="N58" s="15" t="s">
        <v>137</v>
      </c>
    </row>
    <row r="59" spans="1:14" x14ac:dyDescent="0.3">
      <c r="A59" s="15" t="s">
        <v>185</v>
      </c>
      <c r="B59" s="15" t="s">
        <v>1</v>
      </c>
      <c r="C59" s="67">
        <v>45621</v>
      </c>
      <c r="D59" s="15" t="s">
        <v>109</v>
      </c>
      <c r="E59" s="15" t="s">
        <v>110</v>
      </c>
      <c r="F59" s="15">
        <v>3564</v>
      </c>
      <c r="G59" s="15">
        <v>629</v>
      </c>
      <c r="H59" s="15">
        <v>177</v>
      </c>
      <c r="I59" s="15">
        <v>60588</v>
      </c>
      <c r="J59" s="15">
        <v>59627</v>
      </c>
      <c r="K59" s="15">
        <v>92</v>
      </c>
      <c r="L59" s="15" t="s">
        <v>99</v>
      </c>
      <c r="M59" s="15">
        <v>4370</v>
      </c>
      <c r="N59" s="15" t="s">
        <v>81</v>
      </c>
    </row>
    <row r="60" spans="1:14" x14ac:dyDescent="0.3">
      <c r="A60" s="15" t="s">
        <v>188</v>
      </c>
      <c r="B60" s="15" t="s">
        <v>3</v>
      </c>
      <c r="C60" s="67">
        <v>45723</v>
      </c>
      <c r="D60" s="15" t="s">
        <v>109</v>
      </c>
      <c r="E60" s="15" t="s">
        <v>110</v>
      </c>
      <c r="F60" s="15">
        <v>4750</v>
      </c>
      <c r="G60" s="15">
        <v>151</v>
      </c>
      <c r="H60" s="15">
        <v>415</v>
      </c>
      <c r="I60" s="15">
        <v>38000</v>
      </c>
      <c r="J60" s="15">
        <v>37792</v>
      </c>
      <c r="K60" s="15">
        <v>299</v>
      </c>
      <c r="L60" s="15" t="s">
        <v>88</v>
      </c>
      <c r="M60" s="15">
        <v>5316</v>
      </c>
      <c r="N60" s="15" t="s">
        <v>118</v>
      </c>
    </row>
    <row r="61" spans="1:14" x14ac:dyDescent="0.3">
      <c r="A61" s="15" t="s">
        <v>188</v>
      </c>
      <c r="B61" s="15" t="s">
        <v>3</v>
      </c>
      <c r="C61" s="67">
        <v>45723</v>
      </c>
      <c r="D61" s="15" t="s">
        <v>109</v>
      </c>
      <c r="E61" s="15" t="s">
        <v>110</v>
      </c>
      <c r="F61" s="15">
        <v>4750</v>
      </c>
      <c r="G61" s="15">
        <v>151</v>
      </c>
      <c r="H61" s="15">
        <v>415</v>
      </c>
      <c r="I61" s="15">
        <v>38000</v>
      </c>
      <c r="J61" s="15">
        <v>37792</v>
      </c>
      <c r="K61" s="15">
        <v>299</v>
      </c>
      <c r="L61" s="15" t="s">
        <v>88</v>
      </c>
      <c r="M61" s="15">
        <v>5316</v>
      </c>
      <c r="N61" s="15" t="s">
        <v>81</v>
      </c>
    </row>
    <row r="62" spans="1:14" x14ac:dyDescent="0.3">
      <c r="A62" s="15" t="s">
        <v>190</v>
      </c>
      <c r="B62" s="15" t="s">
        <v>2</v>
      </c>
      <c r="C62" s="67">
        <v>45724</v>
      </c>
      <c r="D62" s="15" t="s">
        <v>79</v>
      </c>
      <c r="E62" s="15" t="s">
        <v>80</v>
      </c>
      <c r="F62" s="15">
        <v>456</v>
      </c>
      <c r="G62" s="15">
        <v>629</v>
      </c>
      <c r="H62" s="15">
        <v>428</v>
      </c>
      <c r="I62" s="15">
        <v>8208</v>
      </c>
      <c r="J62" s="15">
        <v>7377</v>
      </c>
      <c r="K62" s="15">
        <v>205</v>
      </c>
      <c r="L62" s="15" t="s">
        <v>99</v>
      </c>
      <c r="M62" s="15">
        <v>1513</v>
      </c>
      <c r="N62" s="15" t="s">
        <v>81</v>
      </c>
    </row>
    <row r="63" spans="1:14" x14ac:dyDescent="0.3">
      <c r="A63" s="15" t="s">
        <v>190</v>
      </c>
      <c r="B63" s="15" t="s">
        <v>2</v>
      </c>
      <c r="C63" s="67">
        <v>45724</v>
      </c>
      <c r="D63" s="15" t="s">
        <v>79</v>
      </c>
      <c r="E63" s="15" t="s">
        <v>80</v>
      </c>
      <c r="F63" s="15">
        <v>456</v>
      </c>
      <c r="G63" s="15">
        <v>629</v>
      </c>
      <c r="H63" s="15">
        <v>428</v>
      </c>
      <c r="I63" s="15">
        <v>8208</v>
      </c>
      <c r="J63" s="15">
        <v>7377</v>
      </c>
      <c r="K63" s="15">
        <v>205</v>
      </c>
      <c r="L63" s="15" t="s">
        <v>99</v>
      </c>
      <c r="M63" s="15">
        <v>1513</v>
      </c>
      <c r="N63" s="15" t="s">
        <v>137</v>
      </c>
    </row>
    <row r="64" spans="1:14" x14ac:dyDescent="0.3">
      <c r="A64" s="15" t="s">
        <v>192</v>
      </c>
      <c r="B64" s="15" t="s">
        <v>4</v>
      </c>
      <c r="C64" s="67">
        <v>45721</v>
      </c>
      <c r="D64" s="15" t="s">
        <v>79</v>
      </c>
      <c r="E64" s="15" t="s">
        <v>80</v>
      </c>
      <c r="F64" s="15">
        <v>1543</v>
      </c>
      <c r="G64" s="15">
        <v>820</v>
      </c>
      <c r="H64" s="15">
        <v>333</v>
      </c>
      <c r="I64" s="15">
        <v>12344</v>
      </c>
      <c r="J64" s="15">
        <v>11496</v>
      </c>
      <c r="K64" s="15">
        <v>241</v>
      </c>
      <c r="L64" s="15" t="s">
        <v>99</v>
      </c>
      <c r="M64" s="15">
        <v>2696</v>
      </c>
      <c r="N64" s="15" t="s">
        <v>118</v>
      </c>
    </row>
    <row r="65" spans="1:14" x14ac:dyDescent="0.3">
      <c r="A65" s="15" t="s">
        <v>194</v>
      </c>
      <c r="B65" s="15" t="s">
        <v>2</v>
      </c>
      <c r="C65" s="67">
        <v>45640</v>
      </c>
      <c r="D65" s="15" t="s">
        <v>102</v>
      </c>
      <c r="E65" s="15" t="s">
        <v>103</v>
      </c>
      <c r="F65" s="15">
        <v>2174</v>
      </c>
      <c r="G65" s="15">
        <v>658</v>
      </c>
      <c r="H65" s="15">
        <v>15</v>
      </c>
      <c r="I65" s="15">
        <v>13044</v>
      </c>
      <c r="J65" s="15">
        <v>12206</v>
      </c>
      <c r="K65" s="15">
        <v>137</v>
      </c>
      <c r="L65" s="15" t="s">
        <v>115</v>
      </c>
      <c r="M65" s="15">
        <v>2847</v>
      </c>
      <c r="N65" s="15" t="s">
        <v>81</v>
      </c>
    </row>
    <row r="66" spans="1:14" x14ac:dyDescent="0.3">
      <c r="A66" s="15" t="s">
        <v>194</v>
      </c>
      <c r="B66" s="15" t="s">
        <v>2</v>
      </c>
      <c r="C66" s="67">
        <v>45640</v>
      </c>
      <c r="D66" s="15" t="s">
        <v>102</v>
      </c>
      <c r="E66" s="15" t="s">
        <v>103</v>
      </c>
      <c r="F66" s="15">
        <v>2174</v>
      </c>
      <c r="G66" s="15">
        <v>658</v>
      </c>
      <c r="H66" s="15">
        <v>15</v>
      </c>
      <c r="I66" s="15">
        <v>13044</v>
      </c>
      <c r="J66" s="15">
        <v>12206</v>
      </c>
      <c r="K66" s="15">
        <v>137</v>
      </c>
      <c r="L66" s="15" t="s">
        <v>115</v>
      </c>
      <c r="M66" s="15">
        <v>2847</v>
      </c>
      <c r="N66" s="15" t="s">
        <v>87</v>
      </c>
    </row>
    <row r="67" spans="1:14" x14ac:dyDescent="0.3">
      <c r="A67" s="15" t="s">
        <v>196</v>
      </c>
      <c r="B67" s="15" t="s">
        <v>3</v>
      </c>
      <c r="C67" s="67">
        <v>45718</v>
      </c>
      <c r="D67" s="15" t="s">
        <v>109</v>
      </c>
      <c r="E67" s="15" t="s">
        <v>110</v>
      </c>
      <c r="F67" s="15">
        <v>2358</v>
      </c>
      <c r="G67" s="15">
        <v>784</v>
      </c>
      <c r="H67" s="15">
        <v>344</v>
      </c>
      <c r="I67" s="15">
        <v>35370</v>
      </c>
      <c r="J67" s="15">
        <v>34475</v>
      </c>
      <c r="K67" s="15">
        <v>216</v>
      </c>
      <c r="L67" s="15" t="s">
        <v>82</v>
      </c>
      <c r="M67" s="15">
        <v>3486</v>
      </c>
      <c r="N67" s="15" t="s">
        <v>81</v>
      </c>
    </row>
    <row r="68" spans="1:14" x14ac:dyDescent="0.3">
      <c r="A68" s="15" t="s">
        <v>196</v>
      </c>
      <c r="B68" s="15" t="s">
        <v>3</v>
      </c>
      <c r="C68" s="67">
        <v>45718</v>
      </c>
      <c r="D68" s="15" t="s">
        <v>109</v>
      </c>
      <c r="E68" s="15" t="s">
        <v>110</v>
      </c>
      <c r="F68" s="15">
        <v>2358</v>
      </c>
      <c r="G68" s="15">
        <v>784</v>
      </c>
      <c r="H68" s="15">
        <v>344</v>
      </c>
      <c r="I68" s="15">
        <v>35370</v>
      </c>
      <c r="J68" s="15">
        <v>34475</v>
      </c>
      <c r="K68" s="15">
        <v>216</v>
      </c>
      <c r="L68" s="15" t="s">
        <v>82</v>
      </c>
      <c r="M68" s="15">
        <v>3486</v>
      </c>
      <c r="N68" s="15" t="s">
        <v>118</v>
      </c>
    </row>
    <row r="69" spans="1:14" x14ac:dyDescent="0.3">
      <c r="A69" s="15" t="s">
        <v>198</v>
      </c>
      <c r="B69" s="15" t="s">
        <v>1</v>
      </c>
      <c r="C69" s="67">
        <v>45597</v>
      </c>
      <c r="D69" s="15" t="s">
        <v>129</v>
      </c>
      <c r="E69" s="15" t="s">
        <v>130</v>
      </c>
      <c r="F69" s="15">
        <v>3371</v>
      </c>
      <c r="G69" s="15">
        <v>106</v>
      </c>
      <c r="H69" s="15">
        <v>327</v>
      </c>
      <c r="I69" s="15">
        <v>50565</v>
      </c>
      <c r="J69" s="15">
        <v>49816</v>
      </c>
      <c r="K69" s="15">
        <v>176</v>
      </c>
      <c r="L69" s="15" t="s">
        <v>115</v>
      </c>
      <c r="M69" s="15">
        <v>3804</v>
      </c>
      <c r="N69" s="15" t="s">
        <v>137</v>
      </c>
    </row>
    <row r="70" spans="1:14" x14ac:dyDescent="0.3">
      <c r="A70" s="15" t="s">
        <v>200</v>
      </c>
      <c r="B70" s="15" t="s">
        <v>3</v>
      </c>
      <c r="C70" s="67">
        <v>45779</v>
      </c>
      <c r="D70" s="15" t="s">
        <v>129</v>
      </c>
      <c r="E70" s="15" t="s">
        <v>130</v>
      </c>
      <c r="F70" s="15">
        <v>1108</v>
      </c>
      <c r="G70" s="15">
        <v>177</v>
      </c>
      <c r="H70" s="15">
        <v>212</v>
      </c>
      <c r="I70" s="15">
        <v>8864</v>
      </c>
      <c r="J70" s="15">
        <v>8710</v>
      </c>
      <c r="K70" s="15">
        <v>97</v>
      </c>
      <c r="L70" s="15" t="s">
        <v>115</v>
      </c>
      <c r="M70" s="15">
        <v>1497</v>
      </c>
      <c r="N70" s="15" t="s">
        <v>87</v>
      </c>
    </row>
    <row r="71" spans="1:14" x14ac:dyDescent="0.3">
      <c r="A71" s="15" t="s">
        <v>202</v>
      </c>
      <c r="B71" s="15" t="s">
        <v>3</v>
      </c>
      <c r="C71" s="67">
        <v>45712</v>
      </c>
      <c r="D71" s="15" t="s">
        <v>102</v>
      </c>
      <c r="E71" s="15" t="s">
        <v>103</v>
      </c>
      <c r="F71" s="15">
        <v>2704</v>
      </c>
      <c r="G71" s="15">
        <v>752</v>
      </c>
      <c r="H71" s="15">
        <v>153</v>
      </c>
      <c r="I71" s="15">
        <v>21632</v>
      </c>
      <c r="J71" s="15">
        <v>20792</v>
      </c>
      <c r="K71" s="15">
        <v>127</v>
      </c>
      <c r="L71" s="15" t="s">
        <v>82</v>
      </c>
      <c r="M71" s="15">
        <v>3609</v>
      </c>
      <c r="N71" s="15" t="s">
        <v>137</v>
      </c>
    </row>
    <row r="72" spans="1:14" x14ac:dyDescent="0.3">
      <c r="A72" s="15" t="s">
        <v>202</v>
      </c>
      <c r="B72" s="15" t="s">
        <v>3</v>
      </c>
      <c r="C72" s="67">
        <v>45712</v>
      </c>
      <c r="D72" s="15" t="s">
        <v>102</v>
      </c>
      <c r="E72" s="15" t="s">
        <v>103</v>
      </c>
      <c r="F72" s="15">
        <v>2704</v>
      </c>
      <c r="G72" s="15">
        <v>752</v>
      </c>
      <c r="H72" s="15">
        <v>153</v>
      </c>
      <c r="I72" s="15">
        <v>21632</v>
      </c>
      <c r="J72" s="15">
        <v>20792</v>
      </c>
      <c r="K72" s="15">
        <v>127</v>
      </c>
      <c r="L72" s="15" t="s">
        <v>82</v>
      </c>
      <c r="M72" s="15">
        <v>3609</v>
      </c>
      <c r="N72" s="15" t="s">
        <v>87</v>
      </c>
    </row>
    <row r="73" spans="1:14" x14ac:dyDescent="0.3">
      <c r="A73" s="15" t="s">
        <v>205</v>
      </c>
      <c r="B73" s="15" t="s">
        <v>3</v>
      </c>
      <c r="C73" s="67">
        <v>45727</v>
      </c>
      <c r="D73" s="15" t="s">
        <v>94</v>
      </c>
      <c r="E73" s="15" t="s">
        <v>95</v>
      </c>
      <c r="F73" s="15">
        <v>1950</v>
      </c>
      <c r="G73" s="15">
        <v>295</v>
      </c>
      <c r="H73" s="15">
        <v>478</v>
      </c>
      <c r="I73" s="15">
        <v>37050</v>
      </c>
      <c r="J73" s="15">
        <v>36272</v>
      </c>
      <c r="K73" s="15">
        <v>119</v>
      </c>
      <c r="L73" s="15" t="s">
        <v>115</v>
      </c>
      <c r="M73" s="15">
        <v>2723</v>
      </c>
      <c r="N73" s="15" t="s">
        <v>87</v>
      </c>
    </row>
    <row r="74" spans="1:14" x14ac:dyDescent="0.3">
      <c r="A74" s="15" t="s">
        <v>205</v>
      </c>
      <c r="B74" s="15" t="s">
        <v>3</v>
      </c>
      <c r="C74" s="67">
        <v>45727</v>
      </c>
      <c r="D74" s="15" t="s">
        <v>94</v>
      </c>
      <c r="E74" s="15" t="s">
        <v>95</v>
      </c>
      <c r="F74" s="15">
        <v>1950</v>
      </c>
      <c r="G74" s="15">
        <v>295</v>
      </c>
      <c r="H74" s="15">
        <v>478</v>
      </c>
      <c r="I74" s="15">
        <v>37050</v>
      </c>
      <c r="J74" s="15">
        <v>36272</v>
      </c>
      <c r="K74" s="15">
        <v>119</v>
      </c>
      <c r="L74" s="15" t="s">
        <v>115</v>
      </c>
      <c r="M74" s="15">
        <v>2723</v>
      </c>
      <c r="N74" s="15" t="s">
        <v>118</v>
      </c>
    </row>
    <row r="75" spans="1:14" x14ac:dyDescent="0.3">
      <c r="A75" s="15" t="s">
        <v>207</v>
      </c>
      <c r="B75" s="15" t="s">
        <v>3</v>
      </c>
      <c r="C75" s="67">
        <v>45453</v>
      </c>
      <c r="D75" s="15" t="s">
        <v>94</v>
      </c>
      <c r="E75" s="15" t="s">
        <v>95</v>
      </c>
      <c r="F75" s="15">
        <v>2164</v>
      </c>
      <c r="G75" s="15">
        <v>549</v>
      </c>
      <c r="H75" s="15">
        <v>274</v>
      </c>
      <c r="I75" s="15">
        <v>28132</v>
      </c>
      <c r="J75" s="15">
        <v>27361</v>
      </c>
      <c r="K75" s="15">
        <v>177</v>
      </c>
      <c r="L75" s="15" t="s">
        <v>82</v>
      </c>
      <c r="M75" s="15">
        <v>2987</v>
      </c>
      <c r="N75" s="15" t="s">
        <v>118</v>
      </c>
    </row>
    <row r="76" spans="1:14" x14ac:dyDescent="0.3">
      <c r="A76" s="15" t="s">
        <v>209</v>
      </c>
      <c r="B76" s="15" t="s">
        <v>4</v>
      </c>
      <c r="C76" s="67">
        <v>45476</v>
      </c>
      <c r="D76" s="15" t="s">
        <v>94</v>
      </c>
      <c r="E76" s="15" t="s">
        <v>95</v>
      </c>
      <c r="F76" s="15">
        <v>2754</v>
      </c>
      <c r="G76" s="15">
        <v>130</v>
      </c>
      <c r="H76" s="15">
        <v>90</v>
      </c>
      <c r="I76" s="15">
        <v>22032</v>
      </c>
      <c r="J76" s="15">
        <v>21288</v>
      </c>
      <c r="K76" s="15">
        <v>112</v>
      </c>
      <c r="L76" s="15" t="s">
        <v>82</v>
      </c>
      <c r="M76" s="15">
        <v>2974</v>
      </c>
      <c r="N76" s="15" t="s">
        <v>87</v>
      </c>
    </row>
    <row r="77" spans="1:14" x14ac:dyDescent="0.3">
      <c r="A77" s="15" t="s">
        <v>211</v>
      </c>
      <c r="B77" s="15" t="s">
        <v>1</v>
      </c>
      <c r="C77" s="67">
        <v>45456</v>
      </c>
      <c r="D77" s="15" t="s">
        <v>102</v>
      </c>
      <c r="E77" s="15" t="s">
        <v>103</v>
      </c>
      <c r="F77" s="15">
        <v>2200</v>
      </c>
      <c r="G77" s="15">
        <v>504</v>
      </c>
      <c r="H77" s="15">
        <v>239</v>
      </c>
      <c r="I77" s="15">
        <v>37400</v>
      </c>
      <c r="J77" s="15">
        <v>36938</v>
      </c>
      <c r="K77" s="15">
        <v>225</v>
      </c>
      <c r="L77" s="15" t="s">
        <v>99</v>
      </c>
      <c r="M77" s="15">
        <v>2943</v>
      </c>
      <c r="N77" s="15" t="s">
        <v>81</v>
      </c>
    </row>
    <row r="78" spans="1:14" x14ac:dyDescent="0.3">
      <c r="A78" s="15" t="s">
        <v>213</v>
      </c>
      <c r="B78" s="15" t="s">
        <v>1</v>
      </c>
      <c r="C78" s="67">
        <v>45660</v>
      </c>
      <c r="D78" s="15" t="s">
        <v>109</v>
      </c>
      <c r="E78" s="15" t="s">
        <v>110</v>
      </c>
      <c r="F78" s="15">
        <v>947</v>
      </c>
      <c r="G78" s="15">
        <v>338</v>
      </c>
      <c r="H78" s="15">
        <v>350</v>
      </c>
      <c r="I78" s="15">
        <v>10417</v>
      </c>
      <c r="J78" s="15">
        <v>9730</v>
      </c>
      <c r="K78" s="15">
        <v>34</v>
      </c>
      <c r="L78" s="15" t="s">
        <v>99</v>
      </c>
      <c r="M78" s="15">
        <v>1635</v>
      </c>
      <c r="N78" s="15" t="s">
        <v>87</v>
      </c>
    </row>
    <row r="79" spans="1:14" x14ac:dyDescent="0.3">
      <c r="A79" s="15" t="s">
        <v>213</v>
      </c>
      <c r="B79" s="15" t="s">
        <v>1</v>
      </c>
      <c r="C79" s="67">
        <v>45660</v>
      </c>
      <c r="D79" s="15" t="s">
        <v>109</v>
      </c>
      <c r="E79" s="15" t="s">
        <v>110</v>
      </c>
      <c r="F79" s="15">
        <v>947</v>
      </c>
      <c r="G79" s="15">
        <v>338</v>
      </c>
      <c r="H79" s="15">
        <v>350</v>
      </c>
      <c r="I79" s="15">
        <v>10417</v>
      </c>
      <c r="J79" s="15">
        <v>9730</v>
      </c>
      <c r="K79" s="15">
        <v>34</v>
      </c>
      <c r="L79" s="15" t="s">
        <v>99</v>
      </c>
      <c r="M79" s="15">
        <v>1635</v>
      </c>
      <c r="N79" s="15" t="s">
        <v>81</v>
      </c>
    </row>
    <row r="80" spans="1:14" x14ac:dyDescent="0.3">
      <c r="A80" s="15" t="s">
        <v>215</v>
      </c>
      <c r="B80" s="15" t="s">
        <v>4</v>
      </c>
      <c r="C80" s="67">
        <v>45712</v>
      </c>
      <c r="D80" s="15" t="s">
        <v>102</v>
      </c>
      <c r="E80" s="15" t="s">
        <v>103</v>
      </c>
      <c r="F80" s="15">
        <v>804</v>
      </c>
      <c r="G80" s="15">
        <v>639</v>
      </c>
      <c r="H80" s="15">
        <v>43</v>
      </c>
      <c r="I80" s="15">
        <v>4020</v>
      </c>
      <c r="J80" s="15">
        <v>3144</v>
      </c>
      <c r="K80" s="15">
        <v>11</v>
      </c>
      <c r="L80" s="15" t="s">
        <v>115</v>
      </c>
      <c r="M80" s="15">
        <v>1486</v>
      </c>
      <c r="N80" s="15" t="s">
        <v>118</v>
      </c>
    </row>
    <row r="81" spans="1:14" x14ac:dyDescent="0.3">
      <c r="A81" s="15" t="s">
        <v>215</v>
      </c>
      <c r="B81" s="15" t="s">
        <v>4</v>
      </c>
      <c r="C81" s="67">
        <v>45712</v>
      </c>
      <c r="D81" s="15" t="s">
        <v>102</v>
      </c>
      <c r="E81" s="15" t="s">
        <v>103</v>
      </c>
      <c r="F81" s="15">
        <v>804</v>
      </c>
      <c r="G81" s="15">
        <v>639</v>
      </c>
      <c r="H81" s="15">
        <v>43</v>
      </c>
      <c r="I81" s="15">
        <v>4020</v>
      </c>
      <c r="J81" s="15">
        <v>3144</v>
      </c>
      <c r="K81" s="15">
        <v>11</v>
      </c>
      <c r="L81" s="15" t="s">
        <v>115</v>
      </c>
      <c r="M81" s="15">
        <v>1486</v>
      </c>
      <c r="N81" s="15" t="s">
        <v>104</v>
      </c>
    </row>
    <row r="82" spans="1:14" x14ac:dyDescent="0.3">
      <c r="A82" s="15" t="s">
        <v>216</v>
      </c>
      <c r="B82" s="15" t="s">
        <v>4</v>
      </c>
      <c r="C82" s="67">
        <v>45729</v>
      </c>
      <c r="D82" s="15" t="s">
        <v>102</v>
      </c>
      <c r="E82" s="15" t="s">
        <v>103</v>
      </c>
      <c r="F82" s="15">
        <v>1686</v>
      </c>
      <c r="G82" s="15">
        <v>904</v>
      </c>
      <c r="H82" s="15">
        <v>472</v>
      </c>
      <c r="I82" s="15">
        <v>18546</v>
      </c>
      <c r="J82" s="15">
        <v>18171</v>
      </c>
      <c r="K82" s="15">
        <v>52</v>
      </c>
      <c r="L82" s="15" t="s">
        <v>88</v>
      </c>
      <c r="M82" s="15">
        <v>3062</v>
      </c>
      <c r="N82" s="15" t="s">
        <v>87</v>
      </c>
    </row>
    <row r="83" spans="1:14" x14ac:dyDescent="0.3">
      <c r="A83" s="15" t="s">
        <v>216</v>
      </c>
      <c r="B83" s="15" t="s">
        <v>4</v>
      </c>
      <c r="C83" s="67">
        <v>45729</v>
      </c>
      <c r="D83" s="15" t="s">
        <v>102</v>
      </c>
      <c r="E83" s="15" t="s">
        <v>103</v>
      </c>
      <c r="F83" s="15">
        <v>1686</v>
      </c>
      <c r="G83" s="15">
        <v>904</v>
      </c>
      <c r="H83" s="15">
        <v>472</v>
      </c>
      <c r="I83" s="15">
        <v>18546</v>
      </c>
      <c r="J83" s="15">
        <v>18171</v>
      </c>
      <c r="K83" s="15">
        <v>52</v>
      </c>
      <c r="L83" s="15" t="s">
        <v>88</v>
      </c>
      <c r="M83" s="15">
        <v>3062</v>
      </c>
      <c r="N83" s="15" t="s">
        <v>137</v>
      </c>
    </row>
    <row r="84" spans="1:14" x14ac:dyDescent="0.3">
      <c r="A84" s="15" t="s">
        <v>218</v>
      </c>
      <c r="B84" s="15" t="s">
        <v>1</v>
      </c>
      <c r="C84" s="67">
        <v>45460</v>
      </c>
      <c r="D84" s="15" t="s">
        <v>109</v>
      </c>
      <c r="E84" s="15" t="s">
        <v>110</v>
      </c>
      <c r="F84" s="15">
        <v>1226</v>
      </c>
      <c r="G84" s="15">
        <v>119</v>
      </c>
      <c r="H84" s="15">
        <v>7</v>
      </c>
      <c r="I84" s="15">
        <v>14712</v>
      </c>
      <c r="J84" s="15">
        <v>14049</v>
      </c>
      <c r="K84" s="15">
        <v>123</v>
      </c>
      <c r="L84" s="15" t="s">
        <v>115</v>
      </c>
      <c r="M84" s="15">
        <v>1352</v>
      </c>
      <c r="N84" s="15" t="s">
        <v>81</v>
      </c>
    </row>
    <row r="85" spans="1:14" x14ac:dyDescent="0.3">
      <c r="A85" s="15" t="s">
        <v>218</v>
      </c>
      <c r="B85" s="15" t="s">
        <v>1</v>
      </c>
      <c r="C85" s="67">
        <v>45460</v>
      </c>
      <c r="D85" s="15" t="s">
        <v>109</v>
      </c>
      <c r="E85" s="15" t="s">
        <v>110</v>
      </c>
      <c r="F85" s="15">
        <v>1226</v>
      </c>
      <c r="G85" s="15">
        <v>119</v>
      </c>
      <c r="H85" s="15">
        <v>7</v>
      </c>
      <c r="I85" s="15">
        <v>14712</v>
      </c>
      <c r="J85" s="15">
        <v>14049</v>
      </c>
      <c r="K85" s="15">
        <v>123</v>
      </c>
      <c r="L85" s="15" t="s">
        <v>115</v>
      </c>
      <c r="M85" s="15">
        <v>1352</v>
      </c>
      <c r="N85" s="15" t="s">
        <v>104</v>
      </c>
    </row>
    <row r="86" spans="1:14" x14ac:dyDescent="0.3">
      <c r="A86" s="15" t="s">
        <v>220</v>
      </c>
      <c r="B86" s="15" t="s">
        <v>1</v>
      </c>
      <c r="C86" s="67">
        <v>45644</v>
      </c>
      <c r="D86" s="15" t="s">
        <v>102</v>
      </c>
      <c r="E86" s="15" t="s">
        <v>103</v>
      </c>
      <c r="F86" s="15">
        <v>2946</v>
      </c>
      <c r="G86" s="15">
        <v>498</v>
      </c>
      <c r="H86" s="15">
        <v>367</v>
      </c>
      <c r="I86" s="15">
        <v>29460</v>
      </c>
      <c r="J86" s="15">
        <v>28527</v>
      </c>
      <c r="K86" s="15">
        <v>60</v>
      </c>
      <c r="L86" s="15" t="s">
        <v>88</v>
      </c>
      <c r="M86" s="15">
        <v>3811</v>
      </c>
      <c r="N86" s="15" t="s">
        <v>118</v>
      </c>
    </row>
    <row r="87" spans="1:14" x14ac:dyDescent="0.3">
      <c r="A87" s="15" t="s">
        <v>220</v>
      </c>
      <c r="B87" s="15" t="s">
        <v>1</v>
      </c>
      <c r="C87" s="67">
        <v>45644</v>
      </c>
      <c r="D87" s="15" t="s">
        <v>102</v>
      </c>
      <c r="E87" s="15" t="s">
        <v>103</v>
      </c>
      <c r="F87" s="15">
        <v>2946</v>
      </c>
      <c r="G87" s="15">
        <v>498</v>
      </c>
      <c r="H87" s="15">
        <v>367</v>
      </c>
      <c r="I87" s="15">
        <v>29460</v>
      </c>
      <c r="J87" s="15">
        <v>28527</v>
      </c>
      <c r="K87" s="15">
        <v>60</v>
      </c>
      <c r="L87" s="15" t="s">
        <v>88</v>
      </c>
      <c r="M87" s="15">
        <v>3811</v>
      </c>
      <c r="N87" s="15" t="s">
        <v>137</v>
      </c>
    </row>
    <row r="88" spans="1:14" x14ac:dyDescent="0.3">
      <c r="A88" s="15" t="s">
        <v>223</v>
      </c>
      <c r="B88" s="15" t="s">
        <v>3</v>
      </c>
      <c r="C88" s="67">
        <v>45586</v>
      </c>
      <c r="D88" s="15" t="s">
        <v>129</v>
      </c>
      <c r="E88" s="15" t="s">
        <v>130</v>
      </c>
      <c r="F88" s="15">
        <v>2825</v>
      </c>
      <c r="G88" s="15">
        <v>535</v>
      </c>
      <c r="H88" s="15">
        <v>295</v>
      </c>
      <c r="I88" s="15">
        <v>45200</v>
      </c>
      <c r="J88" s="15">
        <v>44739</v>
      </c>
      <c r="K88" s="15">
        <v>169</v>
      </c>
      <c r="L88" s="15" t="s">
        <v>88</v>
      </c>
      <c r="M88" s="15">
        <v>3655</v>
      </c>
      <c r="N88" s="15" t="s">
        <v>118</v>
      </c>
    </row>
    <row r="89" spans="1:14" x14ac:dyDescent="0.3">
      <c r="A89" s="15" t="s">
        <v>225</v>
      </c>
      <c r="B89" s="15" t="s">
        <v>2</v>
      </c>
      <c r="C89" s="67">
        <v>45762</v>
      </c>
      <c r="D89" s="15" t="s">
        <v>79</v>
      </c>
      <c r="E89" s="15" t="s">
        <v>80</v>
      </c>
      <c r="F89" s="15">
        <v>103</v>
      </c>
      <c r="G89" s="15">
        <v>770</v>
      </c>
      <c r="H89" s="15">
        <v>19</v>
      </c>
      <c r="I89" s="15">
        <v>1030</v>
      </c>
      <c r="J89" s="15">
        <v>410</v>
      </c>
      <c r="K89" s="15">
        <v>262</v>
      </c>
      <c r="L89" s="15" t="s">
        <v>99</v>
      </c>
      <c r="M89" s="15">
        <v>892</v>
      </c>
      <c r="N89" s="15" t="s">
        <v>81</v>
      </c>
    </row>
    <row r="90" spans="1:14" x14ac:dyDescent="0.3">
      <c r="A90" s="15" t="s">
        <v>227</v>
      </c>
      <c r="B90" s="15" t="s">
        <v>2</v>
      </c>
      <c r="C90" s="67">
        <v>45465</v>
      </c>
      <c r="D90" s="15" t="s">
        <v>85</v>
      </c>
      <c r="E90" s="15" t="s">
        <v>86</v>
      </c>
      <c r="F90" s="15">
        <v>2180</v>
      </c>
      <c r="G90" s="15">
        <v>263</v>
      </c>
      <c r="H90" s="15">
        <v>387</v>
      </c>
      <c r="I90" s="15">
        <v>30520</v>
      </c>
      <c r="J90" s="15">
        <v>30059</v>
      </c>
      <c r="K90" s="15">
        <v>174</v>
      </c>
      <c r="L90" s="15" t="s">
        <v>82</v>
      </c>
      <c r="M90" s="15">
        <v>2830</v>
      </c>
      <c r="N90" s="15" t="s">
        <v>137</v>
      </c>
    </row>
    <row r="91" spans="1:14" x14ac:dyDescent="0.3">
      <c r="A91" s="15" t="s">
        <v>229</v>
      </c>
      <c r="B91" s="15" t="s">
        <v>2</v>
      </c>
      <c r="C91" s="67">
        <v>45685</v>
      </c>
      <c r="D91" s="15" t="s">
        <v>129</v>
      </c>
      <c r="E91" s="15" t="s">
        <v>130</v>
      </c>
      <c r="F91" s="15">
        <v>904</v>
      </c>
      <c r="G91" s="15">
        <v>973</v>
      </c>
      <c r="H91" s="15">
        <v>63</v>
      </c>
      <c r="I91" s="15">
        <v>11752</v>
      </c>
      <c r="J91" s="15">
        <v>11580</v>
      </c>
      <c r="K91" s="15">
        <v>84</v>
      </c>
      <c r="L91" s="15" t="s">
        <v>82</v>
      </c>
      <c r="M91" s="15">
        <v>1940</v>
      </c>
      <c r="N91" s="15" t="s">
        <v>118</v>
      </c>
    </row>
    <row r="92" spans="1:14" x14ac:dyDescent="0.3">
      <c r="A92" s="15" t="s">
        <v>231</v>
      </c>
      <c r="B92" s="15" t="s">
        <v>3</v>
      </c>
      <c r="C92" s="67">
        <v>45540</v>
      </c>
      <c r="D92" s="15" t="s">
        <v>129</v>
      </c>
      <c r="E92" s="15" t="s">
        <v>130</v>
      </c>
      <c r="F92" s="15">
        <v>4886</v>
      </c>
      <c r="G92" s="15">
        <v>983</v>
      </c>
      <c r="H92" s="15">
        <v>409</v>
      </c>
      <c r="I92" s="15">
        <v>43974</v>
      </c>
      <c r="J92" s="15">
        <v>43239</v>
      </c>
      <c r="K92" s="15">
        <v>65</v>
      </c>
      <c r="L92" s="15" t="s">
        <v>82</v>
      </c>
      <c r="M92" s="15">
        <v>6278</v>
      </c>
      <c r="N92" s="15" t="s">
        <v>87</v>
      </c>
    </row>
    <row r="93" spans="1:14" x14ac:dyDescent="0.3">
      <c r="A93" s="15" t="s">
        <v>233</v>
      </c>
      <c r="B93" s="15" t="s">
        <v>3</v>
      </c>
      <c r="C93" s="67">
        <v>45618</v>
      </c>
      <c r="D93" s="15" t="s">
        <v>102</v>
      </c>
      <c r="E93" s="15" t="s">
        <v>103</v>
      </c>
      <c r="F93" s="15">
        <v>53</v>
      </c>
      <c r="G93" s="15">
        <v>81</v>
      </c>
      <c r="H93" s="15">
        <v>379</v>
      </c>
      <c r="I93" s="15">
        <v>954</v>
      </c>
      <c r="J93" s="15">
        <v>7</v>
      </c>
      <c r="K93" s="15">
        <v>148</v>
      </c>
      <c r="L93" s="15" t="s">
        <v>99</v>
      </c>
      <c r="M93" s="15">
        <v>513</v>
      </c>
      <c r="N93" s="15" t="s">
        <v>137</v>
      </c>
    </row>
    <row r="94" spans="1:14" x14ac:dyDescent="0.3">
      <c r="A94" s="15" t="s">
        <v>235</v>
      </c>
      <c r="B94" s="15" t="s">
        <v>3</v>
      </c>
      <c r="C94" s="67">
        <v>45504</v>
      </c>
      <c r="D94" s="15" t="s">
        <v>102</v>
      </c>
      <c r="E94" s="15" t="s">
        <v>103</v>
      </c>
      <c r="F94" s="15">
        <v>4507</v>
      </c>
      <c r="G94" s="15">
        <v>217</v>
      </c>
      <c r="H94" s="15">
        <v>13</v>
      </c>
      <c r="I94" s="15">
        <v>90140</v>
      </c>
      <c r="J94" s="15">
        <v>89591</v>
      </c>
      <c r="K94" s="15">
        <v>125</v>
      </c>
      <c r="L94" s="15" t="s">
        <v>82</v>
      </c>
      <c r="M94" s="15">
        <v>4737</v>
      </c>
      <c r="N94" s="15" t="s">
        <v>81</v>
      </c>
    </row>
    <row r="95" spans="1:14" x14ac:dyDescent="0.3">
      <c r="A95" s="15" t="s">
        <v>236</v>
      </c>
      <c r="B95" s="15" t="s">
        <v>1</v>
      </c>
      <c r="C95" s="67">
        <v>45521</v>
      </c>
      <c r="D95" s="15" t="s">
        <v>109</v>
      </c>
      <c r="E95" s="15" t="s">
        <v>110</v>
      </c>
      <c r="F95" s="15">
        <v>2878</v>
      </c>
      <c r="G95" s="15">
        <v>248</v>
      </c>
      <c r="H95" s="15">
        <v>416</v>
      </c>
      <c r="I95" s="15">
        <v>43170</v>
      </c>
      <c r="J95" s="15">
        <v>42667</v>
      </c>
      <c r="K95" s="15">
        <v>75</v>
      </c>
      <c r="L95" s="15" t="s">
        <v>88</v>
      </c>
      <c r="M95" s="15">
        <v>3542</v>
      </c>
      <c r="N95" s="15" t="s">
        <v>137</v>
      </c>
    </row>
    <row r="96" spans="1:14" x14ac:dyDescent="0.3">
      <c r="A96" s="15" t="s">
        <v>236</v>
      </c>
      <c r="B96" s="15" t="s">
        <v>1</v>
      </c>
      <c r="C96" s="67">
        <v>45521</v>
      </c>
      <c r="D96" s="15" t="s">
        <v>109</v>
      </c>
      <c r="E96" s="15" t="s">
        <v>110</v>
      </c>
      <c r="F96" s="15">
        <v>2878</v>
      </c>
      <c r="G96" s="15">
        <v>248</v>
      </c>
      <c r="H96" s="15">
        <v>416</v>
      </c>
      <c r="I96" s="15">
        <v>43170</v>
      </c>
      <c r="J96" s="15">
        <v>42667</v>
      </c>
      <c r="K96" s="15">
        <v>75</v>
      </c>
      <c r="L96" s="15" t="s">
        <v>88</v>
      </c>
      <c r="M96" s="15">
        <v>3542</v>
      </c>
      <c r="N96" s="15" t="s">
        <v>104</v>
      </c>
    </row>
    <row r="97" spans="1:14" x14ac:dyDescent="0.3">
      <c r="A97" s="15" t="s">
        <v>239</v>
      </c>
      <c r="B97" s="15" t="s">
        <v>2</v>
      </c>
      <c r="C97" s="67">
        <v>45744</v>
      </c>
      <c r="D97" s="15" t="s">
        <v>94</v>
      </c>
      <c r="E97" s="15" t="s">
        <v>95</v>
      </c>
      <c r="F97" s="15">
        <v>1881</v>
      </c>
      <c r="G97" s="15">
        <v>501</v>
      </c>
      <c r="H97" s="15">
        <v>99</v>
      </c>
      <c r="I97" s="15">
        <v>20691</v>
      </c>
      <c r="J97" s="15">
        <v>19987</v>
      </c>
      <c r="K97" s="15">
        <v>289</v>
      </c>
      <c r="L97" s="15" t="s">
        <v>88</v>
      </c>
      <c r="M97" s="15">
        <v>2481</v>
      </c>
      <c r="N97" s="15" t="s">
        <v>137</v>
      </c>
    </row>
    <row r="98" spans="1:14" x14ac:dyDescent="0.3">
      <c r="A98" s="15" t="s">
        <v>241</v>
      </c>
      <c r="B98" s="15" t="s">
        <v>3</v>
      </c>
      <c r="C98" s="67">
        <v>45499</v>
      </c>
      <c r="D98" s="15" t="s">
        <v>102</v>
      </c>
      <c r="E98" s="15" t="s">
        <v>103</v>
      </c>
      <c r="F98" s="15">
        <v>432</v>
      </c>
      <c r="G98" s="15">
        <v>171</v>
      </c>
      <c r="H98" s="15">
        <v>280</v>
      </c>
      <c r="I98" s="15">
        <v>3024</v>
      </c>
      <c r="J98" s="15">
        <v>2285</v>
      </c>
      <c r="K98" s="15">
        <v>184</v>
      </c>
      <c r="L98" s="15" t="s">
        <v>99</v>
      </c>
      <c r="M98" s="15">
        <v>883</v>
      </c>
      <c r="N98" s="15" t="s">
        <v>87</v>
      </c>
    </row>
    <row r="99" spans="1:14" x14ac:dyDescent="0.3">
      <c r="A99" s="15" t="s">
        <v>243</v>
      </c>
      <c r="B99" s="15" t="s">
        <v>1</v>
      </c>
      <c r="C99" s="67">
        <v>45745</v>
      </c>
      <c r="D99" s="15" t="s">
        <v>102</v>
      </c>
      <c r="E99" s="15" t="s">
        <v>103</v>
      </c>
      <c r="F99" s="15">
        <v>4712</v>
      </c>
      <c r="G99" s="15">
        <v>568</v>
      </c>
      <c r="H99" s="15">
        <v>127</v>
      </c>
      <c r="I99" s="15">
        <v>84816</v>
      </c>
      <c r="J99" s="15">
        <v>84691</v>
      </c>
      <c r="K99" s="15">
        <v>100</v>
      </c>
      <c r="L99" s="15" t="s">
        <v>82</v>
      </c>
      <c r="M99" s="15">
        <v>5407</v>
      </c>
      <c r="N99" s="15" t="s">
        <v>137</v>
      </c>
    </row>
    <row r="100" spans="1:14" x14ac:dyDescent="0.3">
      <c r="A100" s="15" t="s">
        <v>245</v>
      </c>
      <c r="B100" s="15" t="s">
        <v>2</v>
      </c>
      <c r="C100" s="67">
        <v>45634</v>
      </c>
      <c r="D100" s="15" t="s">
        <v>94</v>
      </c>
      <c r="E100" s="15" t="s">
        <v>95</v>
      </c>
      <c r="F100" s="15">
        <v>2610</v>
      </c>
      <c r="G100" s="15">
        <v>126</v>
      </c>
      <c r="H100" s="15">
        <v>288</v>
      </c>
      <c r="I100" s="15">
        <v>15660</v>
      </c>
      <c r="J100" s="15">
        <v>15145</v>
      </c>
      <c r="K100" s="15">
        <v>73</v>
      </c>
      <c r="L100" s="15" t="s">
        <v>82</v>
      </c>
      <c r="M100" s="15">
        <v>3024</v>
      </c>
      <c r="N100" s="15" t="s">
        <v>87</v>
      </c>
    </row>
    <row r="101" spans="1:14" x14ac:dyDescent="0.3">
      <c r="A101" s="15" t="s">
        <v>247</v>
      </c>
      <c r="B101" s="15" t="s">
        <v>3</v>
      </c>
      <c r="C101" s="67">
        <v>45724</v>
      </c>
      <c r="D101" s="15" t="s">
        <v>85</v>
      </c>
      <c r="E101" s="15" t="s">
        <v>86</v>
      </c>
      <c r="F101" s="15">
        <v>1292</v>
      </c>
      <c r="G101" s="15">
        <v>626</v>
      </c>
      <c r="H101" s="15">
        <v>496</v>
      </c>
      <c r="I101" s="15">
        <v>25840</v>
      </c>
      <c r="J101" s="15">
        <v>24916</v>
      </c>
      <c r="K101" s="15">
        <v>149</v>
      </c>
      <c r="L101" s="15" t="s">
        <v>115</v>
      </c>
      <c r="M101" s="15">
        <v>2414</v>
      </c>
      <c r="N101" s="15" t="s">
        <v>118</v>
      </c>
    </row>
    <row r="102" spans="1:14" x14ac:dyDescent="0.3">
      <c r="A102" s="15" t="s">
        <v>247</v>
      </c>
      <c r="B102" s="15" t="s">
        <v>3</v>
      </c>
      <c r="C102" s="67">
        <v>45724</v>
      </c>
      <c r="D102" s="15" t="s">
        <v>85</v>
      </c>
      <c r="E102" s="15" t="s">
        <v>86</v>
      </c>
      <c r="F102" s="15">
        <v>1292</v>
      </c>
      <c r="G102" s="15">
        <v>626</v>
      </c>
      <c r="H102" s="15">
        <v>496</v>
      </c>
      <c r="I102" s="15">
        <v>25840</v>
      </c>
      <c r="J102" s="15">
        <v>24916</v>
      </c>
      <c r="K102" s="15">
        <v>149</v>
      </c>
      <c r="L102" s="15" t="s">
        <v>115</v>
      </c>
      <c r="M102" s="15">
        <v>2414</v>
      </c>
      <c r="N102" s="15" t="s">
        <v>104</v>
      </c>
    </row>
    <row r="103" spans="1:14" x14ac:dyDescent="0.3">
      <c r="A103" s="15" t="s">
        <v>248</v>
      </c>
      <c r="B103" s="15" t="s">
        <v>1</v>
      </c>
      <c r="C103" s="67">
        <v>45749</v>
      </c>
      <c r="D103" s="15" t="s">
        <v>129</v>
      </c>
      <c r="E103" s="15" t="s">
        <v>130</v>
      </c>
      <c r="F103" s="15">
        <v>199</v>
      </c>
      <c r="G103" s="15">
        <v>772</v>
      </c>
      <c r="H103" s="15">
        <v>400</v>
      </c>
      <c r="I103" s="15">
        <v>3582</v>
      </c>
      <c r="J103" s="15">
        <v>2988</v>
      </c>
      <c r="K103" s="15">
        <v>43</v>
      </c>
      <c r="L103" s="15" t="s">
        <v>82</v>
      </c>
      <c r="M103" s="15">
        <v>1371</v>
      </c>
      <c r="N103" s="15" t="s">
        <v>104</v>
      </c>
    </row>
    <row r="104" spans="1:14" x14ac:dyDescent="0.3">
      <c r="A104" s="15" t="s">
        <v>250</v>
      </c>
      <c r="B104" s="15" t="s">
        <v>4</v>
      </c>
      <c r="C104" s="67">
        <v>45537</v>
      </c>
      <c r="D104" s="15" t="s">
        <v>102</v>
      </c>
      <c r="E104" s="15" t="s">
        <v>103</v>
      </c>
      <c r="F104" s="15">
        <v>2551</v>
      </c>
      <c r="G104" s="15">
        <v>915</v>
      </c>
      <c r="H104" s="15">
        <v>205</v>
      </c>
      <c r="I104" s="15">
        <v>30612</v>
      </c>
      <c r="J104" s="15">
        <v>30360</v>
      </c>
      <c r="K104" s="15">
        <v>227</v>
      </c>
      <c r="L104" s="15" t="s">
        <v>88</v>
      </c>
      <c r="M104" s="15">
        <v>3671</v>
      </c>
      <c r="N104" s="15" t="s">
        <v>81</v>
      </c>
    </row>
    <row r="105" spans="1:14" x14ac:dyDescent="0.3">
      <c r="A105" s="15" t="s">
        <v>250</v>
      </c>
      <c r="B105" s="15" t="s">
        <v>4</v>
      </c>
      <c r="C105" s="67">
        <v>45537</v>
      </c>
      <c r="D105" s="15" t="s">
        <v>102</v>
      </c>
      <c r="E105" s="15" t="s">
        <v>103</v>
      </c>
      <c r="F105" s="15">
        <v>2551</v>
      </c>
      <c r="G105" s="15">
        <v>915</v>
      </c>
      <c r="H105" s="15">
        <v>205</v>
      </c>
      <c r="I105" s="15">
        <v>30612</v>
      </c>
      <c r="J105" s="15">
        <v>30360</v>
      </c>
      <c r="K105" s="15">
        <v>227</v>
      </c>
      <c r="L105" s="15" t="s">
        <v>88</v>
      </c>
      <c r="M105" s="15">
        <v>3671</v>
      </c>
      <c r="N105" s="15" t="s">
        <v>137</v>
      </c>
    </row>
    <row r="106" spans="1:14" x14ac:dyDescent="0.3">
      <c r="A106" s="15" t="s">
        <v>252</v>
      </c>
      <c r="B106" s="15" t="s">
        <v>4</v>
      </c>
      <c r="C106" s="67">
        <v>45719</v>
      </c>
      <c r="D106" s="15" t="s">
        <v>79</v>
      </c>
      <c r="E106" s="15" t="s">
        <v>80</v>
      </c>
      <c r="F106" s="15">
        <v>296</v>
      </c>
      <c r="G106" s="15">
        <v>60</v>
      </c>
      <c r="H106" s="15">
        <v>141</v>
      </c>
      <c r="I106" s="15">
        <v>5624</v>
      </c>
      <c r="J106" s="15">
        <v>5239</v>
      </c>
      <c r="K106" s="15">
        <v>88</v>
      </c>
      <c r="L106" s="15" t="s">
        <v>115</v>
      </c>
      <c r="M106" s="15">
        <v>497</v>
      </c>
      <c r="N106" s="15" t="s">
        <v>104</v>
      </c>
    </row>
    <row r="107" spans="1:14" x14ac:dyDescent="0.3">
      <c r="A107" s="15" t="s">
        <v>254</v>
      </c>
      <c r="B107" s="15" t="s">
        <v>1</v>
      </c>
      <c r="C107" s="67">
        <v>45583</v>
      </c>
      <c r="D107" s="15" t="s">
        <v>94</v>
      </c>
      <c r="E107" s="15" t="s">
        <v>95</v>
      </c>
      <c r="F107" s="15">
        <v>4126</v>
      </c>
      <c r="G107" s="15">
        <v>426</v>
      </c>
      <c r="H107" s="15">
        <v>486</v>
      </c>
      <c r="I107" s="15">
        <v>78394</v>
      </c>
      <c r="J107" s="15">
        <v>77798</v>
      </c>
      <c r="K107" s="15">
        <v>88</v>
      </c>
      <c r="L107" s="15" t="s">
        <v>82</v>
      </c>
      <c r="M107" s="15">
        <v>5038</v>
      </c>
      <c r="N107" s="15" t="s">
        <v>87</v>
      </c>
    </row>
    <row r="108" spans="1:14" x14ac:dyDescent="0.3">
      <c r="A108" s="15" t="s">
        <v>256</v>
      </c>
      <c r="B108" s="15" t="s">
        <v>4</v>
      </c>
      <c r="C108" s="67">
        <v>45593</v>
      </c>
      <c r="D108" s="15" t="s">
        <v>79</v>
      </c>
      <c r="E108" s="15" t="s">
        <v>80</v>
      </c>
      <c r="F108" s="15">
        <v>1855</v>
      </c>
      <c r="G108" s="15">
        <v>200</v>
      </c>
      <c r="H108" s="15">
        <v>174</v>
      </c>
      <c r="I108" s="15">
        <v>16695</v>
      </c>
      <c r="J108" s="15">
        <v>16330</v>
      </c>
      <c r="K108" s="15">
        <v>123</v>
      </c>
      <c r="L108" s="15" t="s">
        <v>99</v>
      </c>
      <c r="M108" s="15">
        <v>2229</v>
      </c>
      <c r="N108" s="15" t="s">
        <v>87</v>
      </c>
    </row>
    <row r="109" spans="1:14" x14ac:dyDescent="0.3">
      <c r="A109" s="15" t="s">
        <v>258</v>
      </c>
      <c r="B109" s="15" t="s">
        <v>2</v>
      </c>
      <c r="C109" s="67">
        <v>45505</v>
      </c>
      <c r="D109" s="15" t="s">
        <v>79</v>
      </c>
      <c r="E109" s="15" t="s">
        <v>80</v>
      </c>
      <c r="F109" s="15">
        <v>1674</v>
      </c>
      <c r="G109" s="15">
        <v>929</v>
      </c>
      <c r="H109" s="15">
        <v>37</v>
      </c>
      <c r="I109" s="15">
        <v>21762</v>
      </c>
      <c r="J109" s="15">
        <v>20998</v>
      </c>
      <c r="K109" s="15">
        <v>255</v>
      </c>
      <c r="L109" s="15" t="s">
        <v>99</v>
      </c>
      <c r="M109" s="15">
        <v>2640</v>
      </c>
      <c r="N109" s="15" t="s">
        <v>118</v>
      </c>
    </row>
    <row r="110" spans="1:14" x14ac:dyDescent="0.3">
      <c r="A110" s="15" t="s">
        <v>258</v>
      </c>
      <c r="B110" s="15" t="s">
        <v>2</v>
      </c>
      <c r="C110" s="67">
        <v>45505</v>
      </c>
      <c r="D110" s="15" t="s">
        <v>79</v>
      </c>
      <c r="E110" s="15" t="s">
        <v>80</v>
      </c>
      <c r="F110" s="15">
        <v>1674</v>
      </c>
      <c r="G110" s="15">
        <v>929</v>
      </c>
      <c r="H110" s="15">
        <v>37</v>
      </c>
      <c r="I110" s="15">
        <v>21762</v>
      </c>
      <c r="J110" s="15">
        <v>20998</v>
      </c>
      <c r="K110" s="15">
        <v>255</v>
      </c>
      <c r="L110" s="15" t="s">
        <v>99</v>
      </c>
      <c r="M110" s="15">
        <v>2640</v>
      </c>
      <c r="N110" s="15" t="s">
        <v>137</v>
      </c>
    </row>
    <row r="111" spans="1:14" x14ac:dyDescent="0.3">
      <c r="A111" s="15" t="s">
        <v>260</v>
      </c>
      <c r="B111" s="15" t="s">
        <v>3</v>
      </c>
      <c r="C111" s="67">
        <v>45603</v>
      </c>
      <c r="D111" s="15" t="s">
        <v>94</v>
      </c>
      <c r="E111" s="15" t="s">
        <v>95</v>
      </c>
      <c r="F111" s="15">
        <v>1121</v>
      </c>
      <c r="G111" s="15">
        <v>135</v>
      </c>
      <c r="H111" s="15">
        <v>18</v>
      </c>
      <c r="I111" s="15">
        <v>15694</v>
      </c>
      <c r="J111" s="15">
        <v>14957</v>
      </c>
      <c r="K111" s="15">
        <v>99</v>
      </c>
      <c r="L111" s="15" t="s">
        <v>115</v>
      </c>
      <c r="M111" s="15">
        <v>1274</v>
      </c>
      <c r="N111" s="15" t="s">
        <v>81</v>
      </c>
    </row>
    <row r="112" spans="1:14" x14ac:dyDescent="0.3">
      <c r="A112" s="15" t="s">
        <v>260</v>
      </c>
      <c r="B112" s="15" t="s">
        <v>3</v>
      </c>
      <c r="C112" s="67">
        <v>45603</v>
      </c>
      <c r="D112" s="15" t="s">
        <v>94</v>
      </c>
      <c r="E112" s="15" t="s">
        <v>95</v>
      </c>
      <c r="F112" s="15">
        <v>1121</v>
      </c>
      <c r="G112" s="15">
        <v>135</v>
      </c>
      <c r="H112" s="15">
        <v>18</v>
      </c>
      <c r="I112" s="15">
        <v>15694</v>
      </c>
      <c r="J112" s="15">
        <v>14957</v>
      </c>
      <c r="K112" s="15">
        <v>99</v>
      </c>
      <c r="L112" s="15" t="s">
        <v>115</v>
      </c>
      <c r="M112" s="15">
        <v>1274</v>
      </c>
      <c r="N112" s="15" t="s">
        <v>87</v>
      </c>
    </row>
    <row r="113" spans="1:14" x14ac:dyDescent="0.3">
      <c r="A113" s="15" t="s">
        <v>262</v>
      </c>
      <c r="B113" s="15" t="s">
        <v>1</v>
      </c>
      <c r="C113" s="67">
        <v>45720</v>
      </c>
      <c r="D113" s="15" t="s">
        <v>94</v>
      </c>
      <c r="E113" s="15" t="s">
        <v>95</v>
      </c>
      <c r="F113" s="15">
        <v>1249</v>
      </c>
      <c r="G113" s="15">
        <v>116</v>
      </c>
      <c r="H113" s="15">
        <v>420</v>
      </c>
      <c r="I113" s="15">
        <v>8743</v>
      </c>
      <c r="J113" s="15">
        <v>8538</v>
      </c>
      <c r="K113" s="15">
        <v>63</v>
      </c>
      <c r="L113" s="15" t="s">
        <v>99</v>
      </c>
      <c r="M113" s="15">
        <v>1785</v>
      </c>
      <c r="N113" s="15" t="s">
        <v>87</v>
      </c>
    </row>
    <row r="114" spans="1:14" x14ac:dyDescent="0.3">
      <c r="A114" s="15" t="s">
        <v>262</v>
      </c>
      <c r="B114" s="15" t="s">
        <v>1</v>
      </c>
      <c r="C114" s="67">
        <v>45720</v>
      </c>
      <c r="D114" s="15" t="s">
        <v>94</v>
      </c>
      <c r="E114" s="15" t="s">
        <v>95</v>
      </c>
      <c r="F114" s="15">
        <v>1249</v>
      </c>
      <c r="G114" s="15">
        <v>116</v>
      </c>
      <c r="H114" s="15">
        <v>420</v>
      </c>
      <c r="I114" s="15">
        <v>8743</v>
      </c>
      <c r="J114" s="15">
        <v>8538</v>
      </c>
      <c r="K114" s="15">
        <v>63</v>
      </c>
      <c r="L114" s="15" t="s">
        <v>99</v>
      </c>
      <c r="M114" s="15">
        <v>1785</v>
      </c>
      <c r="N114" s="15" t="s">
        <v>137</v>
      </c>
    </row>
    <row r="115" spans="1:14" x14ac:dyDescent="0.3">
      <c r="A115" s="15" t="s">
        <v>263</v>
      </c>
      <c r="B115" s="15" t="s">
        <v>3</v>
      </c>
      <c r="C115" s="67">
        <v>45460</v>
      </c>
      <c r="D115" s="15" t="s">
        <v>109</v>
      </c>
      <c r="E115" s="15" t="s">
        <v>110</v>
      </c>
      <c r="F115" s="15">
        <v>954</v>
      </c>
      <c r="G115" s="15">
        <v>324</v>
      </c>
      <c r="H115" s="15">
        <v>288</v>
      </c>
      <c r="I115" s="15">
        <v>19080</v>
      </c>
      <c r="J115" s="15">
        <v>18859</v>
      </c>
      <c r="K115" s="15">
        <v>21</v>
      </c>
      <c r="L115" s="15" t="s">
        <v>99</v>
      </c>
      <c r="M115" s="15">
        <v>1566</v>
      </c>
      <c r="N115" s="15" t="s">
        <v>104</v>
      </c>
    </row>
    <row r="116" spans="1:14" x14ac:dyDescent="0.3">
      <c r="A116" s="15" t="s">
        <v>264</v>
      </c>
      <c r="B116" s="15" t="s">
        <v>2</v>
      </c>
      <c r="C116" s="67">
        <v>45574</v>
      </c>
      <c r="D116" s="15" t="s">
        <v>102</v>
      </c>
      <c r="E116" s="15" t="s">
        <v>103</v>
      </c>
      <c r="F116" s="15">
        <v>3068</v>
      </c>
      <c r="G116" s="15">
        <v>137</v>
      </c>
      <c r="H116" s="15">
        <v>329</v>
      </c>
      <c r="I116" s="15">
        <v>39884</v>
      </c>
      <c r="J116" s="15">
        <v>39404</v>
      </c>
      <c r="K116" s="15">
        <v>266</v>
      </c>
      <c r="L116" s="15" t="s">
        <v>99</v>
      </c>
      <c r="M116" s="15">
        <v>3534</v>
      </c>
      <c r="N116" s="15" t="s">
        <v>81</v>
      </c>
    </row>
    <row r="117" spans="1:14" x14ac:dyDescent="0.3">
      <c r="A117" s="15" t="s">
        <v>264</v>
      </c>
      <c r="B117" s="15" t="s">
        <v>2</v>
      </c>
      <c r="C117" s="67">
        <v>45574</v>
      </c>
      <c r="D117" s="15" t="s">
        <v>102</v>
      </c>
      <c r="E117" s="15" t="s">
        <v>103</v>
      </c>
      <c r="F117" s="15">
        <v>3068</v>
      </c>
      <c r="G117" s="15">
        <v>137</v>
      </c>
      <c r="H117" s="15">
        <v>329</v>
      </c>
      <c r="I117" s="15">
        <v>39884</v>
      </c>
      <c r="J117" s="15">
        <v>39404</v>
      </c>
      <c r="K117" s="15">
        <v>266</v>
      </c>
      <c r="L117" s="15" t="s">
        <v>99</v>
      </c>
      <c r="M117" s="15">
        <v>3534</v>
      </c>
      <c r="N117" s="15" t="s">
        <v>104</v>
      </c>
    </row>
    <row r="118" spans="1:14" x14ac:dyDescent="0.3">
      <c r="A118" s="15" t="s">
        <v>266</v>
      </c>
      <c r="B118" s="15" t="s">
        <v>2</v>
      </c>
      <c r="C118" s="67">
        <v>45456</v>
      </c>
      <c r="D118" s="15" t="s">
        <v>94</v>
      </c>
      <c r="E118" s="15" t="s">
        <v>95</v>
      </c>
      <c r="F118" s="15">
        <v>2103</v>
      </c>
      <c r="G118" s="15">
        <v>892</v>
      </c>
      <c r="H118" s="15">
        <v>103</v>
      </c>
      <c r="I118" s="15">
        <v>39957</v>
      </c>
      <c r="J118" s="15">
        <v>39466</v>
      </c>
      <c r="K118" s="15">
        <v>28</v>
      </c>
      <c r="L118" s="15" t="s">
        <v>88</v>
      </c>
      <c r="M118" s="15">
        <v>3098</v>
      </c>
      <c r="N118" s="15" t="s">
        <v>137</v>
      </c>
    </row>
    <row r="119" spans="1:14" x14ac:dyDescent="0.3">
      <c r="A119" s="15" t="s">
        <v>266</v>
      </c>
      <c r="B119" s="15" t="s">
        <v>2</v>
      </c>
      <c r="C119" s="67">
        <v>45456</v>
      </c>
      <c r="D119" s="15" t="s">
        <v>94</v>
      </c>
      <c r="E119" s="15" t="s">
        <v>95</v>
      </c>
      <c r="F119" s="15">
        <v>2103</v>
      </c>
      <c r="G119" s="15">
        <v>892</v>
      </c>
      <c r="H119" s="15">
        <v>103</v>
      </c>
      <c r="I119" s="15">
        <v>39957</v>
      </c>
      <c r="J119" s="15">
        <v>39466</v>
      </c>
      <c r="K119" s="15">
        <v>28</v>
      </c>
      <c r="L119" s="15" t="s">
        <v>88</v>
      </c>
      <c r="M119" s="15">
        <v>3098</v>
      </c>
      <c r="N119" s="15" t="s">
        <v>87</v>
      </c>
    </row>
    <row r="120" spans="1:14" x14ac:dyDescent="0.3">
      <c r="A120" s="15" t="s">
        <v>267</v>
      </c>
      <c r="B120" s="15" t="s">
        <v>2</v>
      </c>
      <c r="C120" s="67">
        <v>45584</v>
      </c>
      <c r="D120" s="15" t="s">
        <v>94</v>
      </c>
      <c r="E120" s="15" t="s">
        <v>95</v>
      </c>
      <c r="F120" s="15">
        <v>1816</v>
      </c>
      <c r="G120" s="15">
        <v>29</v>
      </c>
      <c r="H120" s="15">
        <v>41</v>
      </c>
      <c r="I120" s="15">
        <v>19976</v>
      </c>
      <c r="J120" s="15">
        <v>19262</v>
      </c>
      <c r="K120" s="15">
        <v>283</v>
      </c>
      <c r="L120" s="15" t="s">
        <v>99</v>
      </c>
      <c r="M120" s="15">
        <v>1886</v>
      </c>
      <c r="N120" s="15" t="s">
        <v>104</v>
      </c>
    </row>
    <row r="121" spans="1:14" x14ac:dyDescent="0.3">
      <c r="A121" s="15" t="s">
        <v>267</v>
      </c>
      <c r="B121" s="15" t="s">
        <v>2</v>
      </c>
      <c r="C121" s="67">
        <v>45584</v>
      </c>
      <c r="D121" s="15" t="s">
        <v>94</v>
      </c>
      <c r="E121" s="15" t="s">
        <v>95</v>
      </c>
      <c r="F121" s="15">
        <v>1816</v>
      </c>
      <c r="G121" s="15">
        <v>29</v>
      </c>
      <c r="H121" s="15">
        <v>41</v>
      </c>
      <c r="I121" s="15">
        <v>19976</v>
      </c>
      <c r="J121" s="15">
        <v>19262</v>
      </c>
      <c r="K121" s="15">
        <v>283</v>
      </c>
      <c r="L121" s="15" t="s">
        <v>99</v>
      </c>
      <c r="M121" s="15">
        <v>1886</v>
      </c>
      <c r="N121" s="15" t="s">
        <v>81</v>
      </c>
    </row>
    <row r="122" spans="1:14" x14ac:dyDescent="0.3">
      <c r="A122" s="15" t="s">
        <v>270</v>
      </c>
      <c r="B122" s="15" t="s">
        <v>2</v>
      </c>
      <c r="C122" s="67">
        <v>45497</v>
      </c>
      <c r="D122" s="15" t="s">
        <v>109</v>
      </c>
      <c r="E122" s="15" t="s">
        <v>110</v>
      </c>
      <c r="F122" s="15">
        <v>725</v>
      </c>
      <c r="G122" s="15">
        <v>88</v>
      </c>
      <c r="H122" s="15">
        <v>428</v>
      </c>
      <c r="I122" s="15">
        <v>14500</v>
      </c>
      <c r="J122" s="15">
        <v>13637</v>
      </c>
      <c r="K122" s="15">
        <v>200</v>
      </c>
      <c r="L122" s="15" t="s">
        <v>99</v>
      </c>
      <c r="M122" s="15">
        <v>1241</v>
      </c>
      <c r="N122" s="15" t="s">
        <v>104</v>
      </c>
    </row>
    <row r="123" spans="1:14" x14ac:dyDescent="0.3">
      <c r="A123" s="15" t="s">
        <v>272</v>
      </c>
      <c r="B123" s="15" t="s">
        <v>4</v>
      </c>
      <c r="C123" s="67">
        <v>45580</v>
      </c>
      <c r="D123" s="15" t="s">
        <v>129</v>
      </c>
      <c r="E123" s="15" t="s">
        <v>130</v>
      </c>
      <c r="F123" s="15">
        <v>1094</v>
      </c>
      <c r="G123" s="15">
        <v>472</v>
      </c>
      <c r="H123" s="15">
        <v>21</v>
      </c>
      <c r="I123" s="15">
        <v>9846</v>
      </c>
      <c r="J123" s="15">
        <v>9609</v>
      </c>
      <c r="K123" s="15">
        <v>112</v>
      </c>
      <c r="L123" s="15" t="s">
        <v>99</v>
      </c>
      <c r="M123" s="15">
        <v>1587</v>
      </c>
      <c r="N123" s="15" t="s">
        <v>104</v>
      </c>
    </row>
    <row r="124" spans="1:14" x14ac:dyDescent="0.3">
      <c r="A124" s="15" t="s">
        <v>272</v>
      </c>
      <c r="B124" s="15" t="s">
        <v>4</v>
      </c>
      <c r="C124" s="67">
        <v>45580</v>
      </c>
      <c r="D124" s="15" t="s">
        <v>129</v>
      </c>
      <c r="E124" s="15" t="s">
        <v>130</v>
      </c>
      <c r="F124" s="15">
        <v>1094</v>
      </c>
      <c r="G124" s="15">
        <v>472</v>
      </c>
      <c r="H124" s="15">
        <v>21</v>
      </c>
      <c r="I124" s="15">
        <v>9846</v>
      </c>
      <c r="J124" s="15">
        <v>9609</v>
      </c>
      <c r="K124" s="15">
        <v>112</v>
      </c>
      <c r="L124" s="15" t="s">
        <v>99</v>
      </c>
      <c r="M124" s="15">
        <v>1587</v>
      </c>
      <c r="N124" s="15" t="s">
        <v>118</v>
      </c>
    </row>
    <row r="125" spans="1:14" x14ac:dyDescent="0.3">
      <c r="A125" s="15" t="s">
        <v>275</v>
      </c>
      <c r="B125" s="15" t="s">
        <v>1</v>
      </c>
      <c r="C125" s="67">
        <v>45635</v>
      </c>
      <c r="D125" s="15" t="s">
        <v>109</v>
      </c>
      <c r="E125" s="15" t="s">
        <v>110</v>
      </c>
      <c r="F125" s="15">
        <v>1841</v>
      </c>
      <c r="G125" s="15">
        <v>851</v>
      </c>
      <c r="H125" s="15">
        <v>342</v>
      </c>
      <c r="I125" s="15">
        <v>34979</v>
      </c>
      <c r="J125" s="15">
        <v>34154</v>
      </c>
      <c r="K125" s="15">
        <v>255</v>
      </c>
      <c r="L125" s="15" t="s">
        <v>82</v>
      </c>
      <c r="M125" s="15">
        <v>3034</v>
      </c>
      <c r="N125" s="15" t="s">
        <v>87</v>
      </c>
    </row>
    <row r="126" spans="1:14" x14ac:dyDescent="0.3">
      <c r="A126" s="15" t="s">
        <v>275</v>
      </c>
      <c r="B126" s="15" t="s">
        <v>1</v>
      </c>
      <c r="C126" s="67">
        <v>45635</v>
      </c>
      <c r="D126" s="15" t="s">
        <v>109</v>
      </c>
      <c r="E126" s="15" t="s">
        <v>110</v>
      </c>
      <c r="F126" s="15">
        <v>1841</v>
      </c>
      <c r="G126" s="15">
        <v>851</v>
      </c>
      <c r="H126" s="15">
        <v>342</v>
      </c>
      <c r="I126" s="15">
        <v>34979</v>
      </c>
      <c r="J126" s="15">
        <v>34154</v>
      </c>
      <c r="K126" s="15">
        <v>255</v>
      </c>
      <c r="L126" s="15" t="s">
        <v>82</v>
      </c>
      <c r="M126" s="15">
        <v>3034</v>
      </c>
      <c r="N126" s="15" t="s">
        <v>137</v>
      </c>
    </row>
    <row r="127" spans="1:14" x14ac:dyDescent="0.3">
      <c r="A127" s="15" t="s">
        <v>277</v>
      </c>
      <c r="B127" s="15" t="s">
        <v>2</v>
      </c>
      <c r="C127" s="67">
        <v>45766</v>
      </c>
      <c r="D127" s="15" t="s">
        <v>109</v>
      </c>
      <c r="E127" s="15" t="s">
        <v>110</v>
      </c>
      <c r="F127" s="15">
        <v>4177</v>
      </c>
      <c r="G127" s="15">
        <v>569</v>
      </c>
      <c r="H127" s="15">
        <v>55</v>
      </c>
      <c r="I127" s="15">
        <v>25062</v>
      </c>
      <c r="J127" s="15">
        <v>24847</v>
      </c>
      <c r="K127" s="15">
        <v>230</v>
      </c>
      <c r="L127" s="15" t="s">
        <v>82</v>
      </c>
      <c r="M127" s="15">
        <v>4801</v>
      </c>
      <c r="N127" s="15" t="s">
        <v>87</v>
      </c>
    </row>
    <row r="128" spans="1:14" x14ac:dyDescent="0.3">
      <c r="A128" s="15" t="s">
        <v>278</v>
      </c>
      <c r="B128" s="15" t="s">
        <v>4</v>
      </c>
      <c r="C128" s="67">
        <v>45684</v>
      </c>
      <c r="D128" s="15" t="s">
        <v>85</v>
      </c>
      <c r="E128" s="15" t="s">
        <v>86</v>
      </c>
      <c r="F128" s="15">
        <v>3428</v>
      </c>
      <c r="G128" s="15">
        <v>305</v>
      </c>
      <c r="H128" s="15">
        <v>85</v>
      </c>
      <c r="I128" s="15">
        <v>58276</v>
      </c>
      <c r="J128" s="15">
        <v>58052</v>
      </c>
      <c r="K128" s="15">
        <v>242</v>
      </c>
      <c r="L128" s="15" t="s">
        <v>99</v>
      </c>
      <c r="M128" s="15">
        <v>3818</v>
      </c>
      <c r="N128" s="15" t="s">
        <v>104</v>
      </c>
    </row>
    <row r="129" spans="1:14" x14ac:dyDescent="0.3">
      <c r="A129" s="15" t="s">
        <v>278</v>
      </c>
      <c r="B129" s="15" t="s">
        <v>4</v>
      </c>
      <c r="C129" s="67">
        <v>45684</v>
      </c>
      <c r="D129" s="15" t="s">
        <v>85</v>
      </c>
      <c r="E129" s="15" t="s">
        <v>86</v>
      </c>
      <c r="F129" s="15">
        <v>3428</v>
      </c>
      <c r="G129" s="15">
        <v>305</v>
      </c>
      <c r="H129" s="15">
        <v>85</v>
      </c>
      <c r="I129" s="15">
        <v>58276</v>
      </c>
      <c r="J129" s="15">
        <v>58052</v>
      </c>
      <c r="K129" s="15">
        <v>242</v>
      </c>
      <c r="L129" s="15" t="s">
        <v>99</v>
      </c>
      <c r="M129" s="15">
        <v>3818</v>
      </c>
      <c r="N129" s="15" t="s">
        <v>118</v>
      </c>
    </row>
    <row r="130" spans="1:14" x14ac:dyDescent="0.3">
      <c r="A130" s="15" t="s">
        <v>280</v>
      </c>
      <c r="B130" s="15" t="s">
        <v>3</v>
      </c>
      <c r="C130" s="67">
        <v>45449</v>
      </c>
      <c r="D130" s="15" t="s">
        <v>129</v>
      </c>
      <c r="E130" s="15" t="s">
        <v>130</v>
      </c>
      <c r="F130" s="15">
        <v>1436</v>
      </c>
      <c r="G130" s="15">
        <v>765</v>
      </c>
      <c r="H130" s="15">
        <v>496</v>
      </c>
      <c r="I130" s="15">
        <v>12924</v>
      </c>
      <c r="J130" s="15">
        <v>12701</v>
      </c>
      <c r="K130" s="15">
        <v>197</v>
      </c>
      <c r="L130" s="15" t="s">
        <v>88</v>
      </c>
      <c r="M130" s="15">
        <v>2697</v>
      </c>
      <c r="N130" s="15" t="s">
        <v>104</v>
      </c>
    </row>
    <row r="131" spans="1:14" x14ac:dyDescent="0.3">
      <c r="A131" s="15" t="s">
        <v>280</v>
      </c>
      <c r="B131" s="15" t="s">
        <v>3</v>
      </c>
      <c r="C131" s="67">
        <v>45449</v>
      </c>
      <c r="D131" s="15" t="s">
        <v>129</v>
      </c>
      <c r="E131" s="15" t="s">
        <v>130</v>
      </c>
      <c r="F131" s="15">
        <v>1436</v>
      </c>
      <c r="G131" s="15">
        <v>765</v>
      </c>
      <c r="H131" s="15">
        <v>496</v>
      </c>
      <c r="I131" s="15">
        <v>12924</v>
      </c>
      <c r="J131" s="15">
        <v>12701</v>
      </c>
      <c r="K131" s="15">
        <v>197</v>
      </c>
      <c r="L131" s="15" t="s">
        <v>88</v>
      </c>
      <c r="M131" s="15">
        <v>2697</v>
      </c>
      <c r="N131" s="15" t="s">
        <v>81</v>
      </c>
    </row>
    <row r="132" spans="1:14" x14ac:dyDescent="0.3">
      <c r="A132" s="15" t="s">
        <v>282</v>
      </c>
      <c r="B132" s="15" t="s">
        <v>1</v>
      </c>
      <c r="C132" s="67">
        <v>45480</v>
      </c>
      <c r="D132" s="15" t="s">
        <v>94</v>
      </c>
      <c r="E132" s="15" t="s">
        <v>95</v>
      </c>
      <c r="F132" s="15">
        <v>302</v>
      </c>
      <c r="G132" s="15">
        <v>47</v>
      </c>
      <c r="H132" s="15">
        <v>430</v>
      </c>
      <c r="I132" s="15">
        <v>5738</v>
      </c>
      <c r="J132" s="15">
        <v>4890</v>
      </c>
      <c r="K132" s="15">
        <v>25</v>
      </c>
      <c r="L132" s="15" t="s">
        <v>88</v>
      </c>
      <c r="M132" s="15">
        <v>779</v>
      </c>
      <c r="N132" s="15" t="s">
        <v>87</v>
      </c>
    </row>
    <row r="133" spans="1:14" x14ac:dyDescent="0.3">
      <c r="A133" s="15" t="s">
        <v>282</v>
      </c>
      <c r="B133" s="15" t="s">
        <v>1</v>
      </c>
      <c r="C133" s="67">
        <v>45480</v>
      </c>
      <c r="D133" s="15" t="s">
        <v>94</v>
      </c>
      <c r="E133" s="15" t="s">
        <v>95</v>
      </c>
      <c r="F133" s="15">
        <v>302</v>
      </c>
      <c r="G133" s="15">
        <v>47</v>
      </c>
      <c r="H133" s="15">
        <v>430</v>
      </c>
      <c r="I133" s="15">
        <v>5738</v>
      </c>
      <c r="J133" s="15">
        <v>4890</v>
      </c>
      <c r="K133" s="15">
        <v>25</v>
      </c>
      <c r="L133" s="15" t="s">
        <v>88</v>
      </c>
      <c r="M133" s="15">
        <v>779</v>
      </c>
      <c r="N133" s="15" t="s">
        <v>81</v>
      </c>
    </row>
    <row r="134" spans="1:14" x14ac:dyDescent="0.3">
      <c r="A134" s="15" t="s">
        <v>284</v>
      </c>
      <c r="B134" s="15" t="s">
        <v>3</v>
      </c>
      <c r="C134" s="67">
        <v>45667</v>
      </c>
      <c r="D134" s="15" t="s">
        <v>109</v>
      </c>
      <c r="E134" s="15" t="s">
        <v>110</v>
      </c>
      <c r="F134" s="15">
        <v>2214</v>
      </c>
      <c r="G134" s="15">
        <v>249</v>
      </c>
      <c r="H134" s="15">
        <v>152</v>
      </c>
      <c r="I134" s="15">
        <v>15498</v>
      </c>
      <c r="J134" s="15">
        <v>14800</v>
      </c>
      <c r="K134" s="15">
        <v>180</v>
      </c>
      <c r="L134" s="15" t="s">
        <v>88</v>
      </c>
      <c r="M134" s="15">
        <v>2615</v>
      </c>
      <c r="N134" s="15" t="s">
        <v>81</v>
      </c>
    </row>
    <row r="135" spans="1:14" x14ac:dyDescent="0.3">
      <c r="A135" s="15" t="s">
        <v>286</v>
      </c>
      <c r="B135" s="15" t="s">
        <v>2</v>
      </c>
      <c r="C135" s="67">
        <v>45446</v>
      </c>
      <c r="D135" s="15" t="s">
        <v>109</v>
      </c>
      <c r="E135" s="15" t="s">
        <v>110</v>
      </c>
      <c r="F135" s="15">
        <v>3861</v>
      </c>
      <c r="G135" s="15">
        <v>960</v>
      </c>
      <c r="H135" s="15">
        <v>101</v>
      </c>
      <c r="I135" s="15">
        <v>69498</v>
      </c>
      <c r="J135" s="15">
        <v>68817</v>
      </c>
      <c r="K135" s="15">
        <v>297</v>
      </c>
      <c r="L135" s="15" t="s">
        <v>88</v>
      </c>
      <c r="M135" s="15">
        <v>4922</v>
      </c>
      <c r="N135" s="15" t="s">
        <v>87</v>
      </c>
    </row>
    <row r="136" spans="1:14" x14ac:dyDescent="0.3">
      <c r="A136" s="15" t="s">
        <v>288</v>
      </c>
      <c r="B136" s="15" t="s">
        <v>1</v>
      </c>
      <c r="C136" s="67">
        <v>45740</v>
      </c>
      <c r="D136" s="15" t="s">
        <v>109</v>
      </c>
      <c r="E136" s="15" t="s">
        <v>110</v>
      </c>
      <c r="F136" s="15">
        <v>1263</v>
      </c>
      <c r="G136" s="15">
        <v>397</v>
      </c>
      <c r="H136" s="15">
        <v>357</v>
      </c>
      <c r="I136" s="15">
        <v>25260</v>
      </c>
      <c r="J136" s="15">
        <v>24615</v>
      </c>
      <c r="K136" s="15">
        <v>137</v>
      </c>
      <c r="L136" s="15" t="s">
        <v>88</v>
      </c>
      <c r="M136" s="15">
        <v>2017</v>
      </c>
      <c r="N136" s="15" t="s">
        <v>81</v>
      </c>
    </row>
    <row r="137" spans="1:14" x14ac:dyDescent="0.3">
      <c r="A137" s="15" t="s">
        <v>290</v>
      </c>
      <c r="B137" s="15" t="s">
        <v>3</v>
      </c>
      <c r="C137" s="67">
        <v>45586</v>
      </c>
      <c r="D137" s="15" t="s">
        <v>94</v>
      </c>
      <c r="E137" s="15" t="s">
        <v>95</v>
      </c>
      <c r="F137" s="15">
        <v>3801</v>
      </c>
      <c r="G137" s="15">
        <v>967</v>
      </c>
      <c r="H137" s="15">
        <v>401</v>
      </c>
      <c r="I137" s="15">
        <v>38010</v>
      </c>
      <c r="J137" s="15">
        <v>37625</v>
      </c>
      <c r="K137" s="15">
        <v>236</v>
      </c>
      <c r="L137" s="15" t="s">
        <v>115</v>
      </c>
      <c r="M137" s="15">
        <v>5169</v>
      </c>
      <c r="N137" s="15" t="s">
        <v>118</v>
      </c>
    </row>
    <row r="138" spans="1:14" x14ac:dyDescent="0.3">
      <c r="A138" s="15" t="s">
        <v>291</v>
      </c>
      <c r="B138" s="15" t="s">
        <v>2</v>
      </c>
      <c r="C138" s="67">
        <v>45637</v>
      </c>
      <c r="D138" s="15" t="s">
        <v>129</v>
      </c>
      <c r="E138" s="15" t="s">
        <v>130</v>
      </c>
      <c r="F138" s="15">
        <v>1431</v>
      </c>
      <c r="G138" s="15">
        <v>951</v>
      </c>
      <c r="H138" s="15">
        <v>26</v>
      </c>
      <c r="I138" s="15">
        <v>8586</v>
      </c>
      <c r="J138" s="15">
        <v>8396</v>
      </c>
      <c r="K138" s="15">
        <v>150</v>
      </c>
      <c r="L138" s="15" t="s">
        <v>82</v>
      </c>
      <c r="M138" s="15">
        <v>2408</v>
      </c>
      <c r="N138" s="15" t="s">
        <v>104</v>
      </c>
    </row>
    <row r="139" spans="1:14" x14ac:dyDescent="0.3">
      <c r="A139" s="15" t="s">
        <v>291</v>
      </c>
      <c r="B139" s="15" t="s">
        <v>2</v>
      </c>
      <c r="C139" s="67">
        <v>45637</v>
      </c>
      <c r="D139" s="15" t="s">
        <v>129</v>
      </c>
      <c r="E139" s="15" t="s">
        <v>130</v>
      </c>
      <c r="F139" s="15">
        <v>1431</v>
      </c>
      <c r="G139" s="15">
        <v>951</v>
      </c>
      <c r="H139" s="15">
        <v>26</v>
      </c>
      <c r="I139" s="15">
        <v>8586</v>
      </c>
      <c r="J139" s="15">
        <v>8396</v>
      </c>
      <c r="K139" s="15">
        <v>150</v>
      </c>
      <c r="L139" s="15" t="s">
        <v>82</v>
      </c>
      <c r="M139" s="15">
        <v>2408</v>
      </c>
      <c r="N139" s="15" t="s">
        <v>137</v>
      </c>
    </row>
    <row r="140" spans="1:14" x14ac:dyDescent="0.3">
      <c r="A140" s="15" t="s">
        <v>293</v>
      </c>
      <c r="B140" s="15" t="s">
        <v>2</v>
      </c>
      <c r="C140" s="67">
        <v>45603</v>
      </c>
      <c r="D140" s="15" t="s">
        <v>109</v>
      </c>
      <c r="E140" s="15" t="s">
        <v>110</v>
      </c>
      <c r="F140" s="15">
        <v>2647</v>
      </c>
      <c r="G140" s="15">
        <v>304</v>
      </c>
      <c r="H140" s="15">
        <v>170</v>
      </c>
      <c r="I140" s="15">
        <v>18529</v>
      </c>
      <c r="J140" s="15">
        <v>17841</v>
      </c>
      <c r="K140" s="15">
        <v>46</v>
      </c>
      <c r="L140" s="15" t="s">
        <v>88</v>
      </c>
      <c r="M140" s="15">
        <v>3121</v>
      </c>
      <c r="N140" s="15" t="s">
        <v>118</v>
      </c>
    </row>
    <row r="141" spans="1:14" x14ac:dyDescent="0.3">
      <c r="A141" s="15" t="s">
        <v>294</v>
      </c>
      <c r="B141" s="15" t="s">
        <v>2</v>
      </c>
      <c r="C141" s="67">
        <v>45604</v>
      </c>
      <c r="D141" s="15" t="s">
        <v>85</v>
      </c>
      <c r="E141" s="15" t="s">
        <v>86</v>
      </c>
      <c r="F141" s="15">
        <v>3182</v>
      </c>
      <c r="G141" s="15">
        <v>559</v>
      </c>
      <c r="H141" s="15">
        <v>160</v>
      </c>
      <c r="I141" s="15">
        <v>57276</v>
      </c>
      <c r="J141" s="15">
        <v>56890</v>
      </c>
      <c r="K141" s="15">
        <v>163</v>
      </c>
      <c r="L141" s="15" t="s">
        <v>88</v>
      </c>
      <c r="M141" s="15">
        <v>3901</v>
      </c>
      <c r="N141" s="15" t="s">
        <v>118</v>
      </c>
    </row>
    <row r="142" spans="1:14" x14ac:dyDescent="0.3">
      <c r="A142" s="15" t="s">
        <v>294</v>
      </c>
      <c r="B142" s="15" t="s">
        <v>2</v>
      </c>
      <c r="C142" s="67">
        <v>45604</v>
      </c>
      <c r="D142" s="15" t="s">
        <v>85</v>
      </c>
      <c r="E142" s="15" t="s">
        <v>86</v>
      </c>
      <c r="F142" s="15">
        <v>3182</v>
      </c>
      <c r="G142" s="15">
        <v>559</v>
      </c>
      <c r="H142" s="15">
        <v>160</v>
      </c>
      <c r="I142" s="15">
        <v>57276</v>
      </c>
      <c r="J142" s="15">
        <v>56890</v>
      </c>
      <c r="K142" s="15">
        <v>163</v>
      </c>
      <c r="L142" s="15" t="s">
        <v>88</v>
      </c>
      <c r="M142" s="15">
        <v>3901</v>
      </c>
      <c r="N142" s="15" t="s">
        <v>104</v>
      </c>
    </row>
    <row r="143" spans="1:14" x14ac:dyDescent="0.3">
      <c r="A143" s="15" t="s">
        <v>296</v>
      </c>
      <c r="B143" s="15" t="s">
        <v>3</v>
      </c>
      <c r="C143" s="67">
        <v>45545</v>
      </c>
      <c r="D143" s="15" t="s">
        <v>109</v>
      </c>
      <c r="E143" s="15" t="s">
        <v>110</v>
      </c>
      <c r="F143" s="15">
        <v>1238</v>
      </c>
      <c r="G143" s="15">
        <v>366</v>
      </c>
      <c r="H143" s="15">
        <v>444</v>
      </c>
      <c r="I143" s="15">
        <v>19808</v>
      </c>
      <c r="J143" s="15">
        <v>19334</v>
      </c>
      <c r="K143" s="15">
        <v>123</v>
      </c>
      <c r="L143" s="15" t="s">
        <v>99</v>
      </c>
      <c r="M143" s="15">
        <v>2048</v>
      </c>
      <c r="N143" s="15" t="s">
        <v>137</v>
      </c>
    </row>
    <row r="144" spans="1:14" x14ac:dyDescent="0.3">
      <c r="A144" s="15" t="s">
        <v>298</v>
      </c>
      <c r="B144" s="15" t="s">
        <v>2</v>
      </c>
      <c r="C144" s="67">
        <v>45517</v>
      </c>
      <c r="D144" s="15" t="s">
        <v>109</v>
      </c>
      <c r="E144" s="15" t="s">
        <v>110</v>
      </c>
      <c r="F144" s="15">
        <v>4739</v>
      </c>
      <c r="G144" s="15">
        <v>527</v>
      </c>
      <c r="H144" s="15">
        <v>135</v>
      </c>
      <c r="I144" s="15">
        <v>61607</v>
      </c>
      <c r="J144" s="15">
        <v>61333</v>
      </c>
      <c r="K144" s="15">
        <v>36</v>
      </c>
      <c r="L144" s="15" t="s">
        <v>88</v>
      </c>
      <c r="M144" s="15">
        <v>5401</v>
      </c>
      <c r="N144" s="15" t="s">
        <v>118</v>
      </c>
    </row>
    <row r="145" spans="1:14" x14ac:dyDescent="0.3">
      <c r="A145" s="15" t="s">
        <v>298</v>
      </c>
      <c r="B145" s="15" t="s">
        <v>2</v>
      </c>
      <c r="C145" s="67">
        <v>45517</v>
      </c>
      <c r="D145" s="15" t="s">
        <v>109</v>
      </c>
      <c r="E145" s="15" t="s">
        <v>110</v>
      </c>
      <c r="F145" s="15">
        <v>4739</v>
      </c>
      <c r="G145" s="15">
        <v>527</v>
      </c>
      <c r="H145" s="15">
        <v>135</v>
      </c>
      <c r="I145" s="15">
        <v>61607</v>
      </c>
      <c r="J145" s="15">
        <v>61333</v>
      </c>
      <c r="K145" s="15">
        <v>36</v>
      </c>
      <c r="L145" s="15" t="s">
        <v>88</v>
      </c>
      <c r="M145" s="15">
        <v>5401</v>
      </c>
      <c r="N145" s="15" t="s">
        <v>81</v>
      </c>
    </row>
    <row r="146" spans="1:14" x14ac:dyDescent="0.3">
      <c r="A146" s="15" t="s">
        <v>300</v>
      </c>
      <c r="B146" s="15" t="s">
        <v>3</v>
      </c>
      <c r="C146" s="67">
        <v>45453</v>
      </c>
      <c r="D146" s="15" t="s">
        <v>94</v>
      </c>
      <c r="E146" s="15" t="s">
        <v>95</v>
      </c>
      <c r="F146" s="15">
        <v>1575</v>
      </c>
      <c r="G146" s="15">
        <v>771</v>
      </c>
      <c r="H146" s="15">
        <v>486</v>
      </c>
      <c r="I146" s="15">
        <v>25200</v>
      </c>
      <c r="J146" s="15">
        <v>24826</v>
      </c>
      <c r="K146" s="15">
        <v>17</v>
      </c>
      <c r="L146" s="15" t="s">
        <v>99</v>
      </c>
      <c r="M146" s="15">
        <v>2832</v>
      </c>
      <c r="N146" s="15" t="s">
        <v>118</v>
      </c>
    </row>
    <row r="147" spans="1:14" x14ac:dyDescent="0.3">
      <c r="A147" s="15" t="s">
        <v>301</v>
      </c>
      <c r="B147" s="15" t="s">
        <v>4</v>
      </c>
      <c r="C147" s="67">
        <v>45475</v>
      </c>
      <c r="D147" s="15" t="s">
        <v>102</v>
      </c>
      <c r="E147" s="15" t="s">
        <v>103</v>
      </c>
      <c r="F147" s="15">
        <v>4171</v>
      </c>
      <c r="G147" s="15">
        <v>548</v>
      </c>
      <c r="H147" s="15">
        <v>86</v>
      </c>
      <c r="I147" s="15">
        <v>66736</v>
      </c>
      <c r="J147" s="15">
        <v>66634</v>
      </c>
      <c r="K147" s="15">
        <v>173</v>
      </c>
      <c r="L147" s="15" t="s">
        <v>99</v>
      </c>
      <c r="M147" s="15">
        <v>4805</v>
      </c>
      <c r="N147" s="15" t="s">
        <v>118</v>
      </c>
    </row>
    <row r="148" spans="1:14" x14ac:dyDescent="0.3">
      <c r="A148" s="15" t="s">
        <v>303</v>
      </c>
      <c r="B148" s="15" t="s">
        <v>4</v>
      </c>
      <c r="C148" s="67">
        <v>45698</v>
      </c>
      <c r="D148" s="15" t="s">
        <v>129</v>
      </c>
      <c r="E148" s="15" t="s">
        <v>130</v>
      </c>
      <c r="F148" s="15">
        <v>1766</v>
      </c>
      <c r="G148" s="15">
        <v>92</v>
      </c>
      <c r="H148" s="15">
        <v>424</v>
      </c>
      <c r="I148" s="15">
        <v>24724</v>
      </c>
      <c r="J148" s="15">
        <v>24333</v>
      </c>
      <c r="K148" s="15">
        <v>52</v>
      </c>
      <c r="L148" s="15" t="s">
        <v>82</v>
      </c>
      <c r="M148" s="15">
        <v>2282</v>
      </c>
      <c r="N148" s="15" t="s">
        <v>118</v>
      </c>
    </row>
    <row r="149" spans="1:14" x14ac:dyDescent="0.3">
      <c r="A149" s="15" t="s">
        <v>305</v>
      </c>
      <c r="B149" s="15" t="s">
        <v>4</v>
      </c>
      <c r="C149" s="67">
        <v>45583</v>
      </c>
      <c r="D149" s="15" t="s">
        <v>129</v>
      </c>
      <c r="E149" s="15" t="s">
        <v>130</v>
      </c>
      <c r="F149" s="15">
        <v>4450</v>
      </c>
      <c r="G149" s="15">
        <v>983</v>
      </c>
      <c r="H149" s="15">
        <v>143</v>
      </c>
      <c r="I149" s="15">
        <v>75650</v>
      </c>
      <c r="J149" s="15">
        <v>75008</v>
      </c>
      <c r="K149" s="15">
        <v>12</v>
      </c>
      <c r="L149" s="15" t="s">
        <v>88</v>
      </c>
      <c r="M149" s="15">
        <v>5576</v>
      </c>
      <c r="N149" s="15" t="s">
        <v>81</v>
      </c>
    </row>
    <row r="150" spans="1:14" x14ac:dyDescent="0.3">
      <c r="A150" s="15" t="s">
        <v>305</v>
      </c>
      <c r="B150" s="15" t="s">
        <v>4</v>
      </c>
      <c r="C150" s="67">
        <v>45583</v>
      </c>
      <c r="D150" s="15" t="s">
        <v>129</v>
      </c>
      <c r="E150" s="15" t="s">
        <v>130</v>
      </c>
      <c r="F150" s="15">
        <v>4450</v>
      </c>
      <c r="G150" s="15">
        <v>983</v>
      </c>
      <c r="H150" s="15">
        <v>143</v>
      </c>
      <c r="I150" s="15">
        <v>75650</v>
      </c>
      <c r="J150" s="15">
        <v>75008</v>
      </c>
      <c r="K150" s="15">
        <v>12</v>
      </c>
      <c r="L150" s="15" t="s">
        <v>88</v>
      </c>
      <c r="M150" s="15">
        <v>5576</v>
      </c>
      <c r="N150" s="15" t="s">
        <v>118</v>
      </c>
    </row>
    <row r="151" spans="1:14" x14ac:dyDescent="0.3">
      <c r="A151" s="15" t="s">
        <v>306</v>
      </c>
      <c r="B151" s="15" t="s">
        <v>3</v>
      </c>
      <c r="C151" s="67">
        <v>45553</v>
      </c>
      <c r="D151" s="15" t="s">
        <v>79</v>
      </c>
      <c r="E151" s="15" t="s">
        <v>80</v>
      </c>
      <c r="F151" s="15">
        <v>1000</v>
      </c>
      <c r="G151" s="15">
        <v>978</v>
      </c>
      <c r="H151" s="15">
        <v>162</v>
      </c>
      <c r="I151" s="15">
        <v>6000</v>
      </c>
      <c r="J151" s="15">
        <v>5221</v>
      </c>
      <c r="K151" s="15">
        <v>223</v>
      </c>
      <c r="L151" s="15" t="s">
        <v>99</v>
      </c>
      <c r="M151" s="15">
        <v>2140</v>
      </c>
      <c r="N151" s="15" t="s">
        <v>104</v>
      </c>
    </row>
    <row r="152" spans="1:14" x14ac:dyDescent="0.3">
      <c r="A152" s="15" t="s">
        <v>306</v>
      </c>
      <c r="B152" s="15" t="s">
        <v>3</v>
      </c>
      <c r="C152" s="67">
        <v>45553</v>
      </c>
      <c r="D152" s="15" t="s">
        <v>79</v>
      </c>
      <c r="E152" s="15" t="s">
        <v>80</v>
      </c>
      <c r="F152" s="15">
        <v>1000</v>
      </c>
      <c r="G152" s="15">
        <v>978</v>
      </c>
      <c r="H152" s="15">
        <v>162</v>
      </c>
      <c r="I152" s="15">
        <v>6000</v>
      </c>
      <c r="J152" s="15">
        <v>5221</v>
      </c>
      <c r="K152" s="15">
        <v>223</v>
      </c>
      <c r="L152" s="15" t="s">
        <v>99</v>
      </c>
      <c r="M152" s="15">
        <v>2140</v>
      </c>
      <c r="N152" s="15" t="s">
        <v>87</v>
      </c>
    </row>
    <row r="153" spans="1:14" x14ac:dyDescent="0.3">
      <c r="A153" s="15" t="s">
        <v>308</v>
      </c>
      <c r="B153" s="15" t="s">
        <v>1</v>
      </c>
      <c r="C153" s="67">
        <v>45454</v>
      </c>
      <c r="D153" s="15" t="s">
        <v>109</v>
      </c>
      <c r="E153" s="15" t="s">
        <v>110</v>
      </c>
      <c r="F153" s="15">
        <v>3689</v>
      </c>
      <c r="G153" s="15">
        <v>48</v>
      </c>
      <c r="H153" s="15">
        <v>306</v>
      </c>
      <c r="I153" s="15">
        <v>40579</v>
      </c>
      <c r="J153" s="15">
        <v>39588</v>
      </c>
      <c r="K153" s="15">
        <v>212</v>
      </c>
      <c r="L153" s="15" t="s">
        <v>82</v>
      </c>
      <c r="M153" s="15">
        <v>4043</v>
      </c>
      <c r="N153" s="15" t="s">
        <v>104</v>
      </c>
    </row>
    <row r="154" spans="1:14" x14ac:dyDescent="0.3">
      <c r="A154" s="15" t="s">
        <v>310</v>
      </c>
      <c r="B154" s="15" t="s">
        <v>4</v>
      </c>
      <c r="C154" s="67">
        <v>45739</v>
      </c>
      <c r="D154" s="15" t="s">
        <v>94</v>
      </c>
      <c r="E154" s="15" t="s">
        <v>95</v>
      </c>
      <c r="F154" s="15">
        <v>3655</v>
      </c>
      <c r="G154" s="15">
        <v>568</v>
      </c>
      <c r="H154" s="15">
        <v>286</v>
      </c>
      <c r="I154" s="15">
        <v>32895</v>
      </c>
      <c r="J154" s="15">
        <v>32015</v>
      </c>
      <c r="K154" s="15">
        <v>199</v>
      </c>
      <c r="L154" s="15" t="s">
        <v>115</v>
      </c>
      <c r="M154" s="15">
        <v>4509</v>
      </c>
      <c r="N154" s="15" t="s">
        <v>104</v>
      </c>
    </row>
    <row r="155" spans="1:14" x14ac:dyDescent="0.3">
      <c r="A155" s="15" t="s">
        <v>312</v>
      </c>
      <c r="B155" s="15" t="s">
        <v>2</v>
      </c>
      <c r="C155" s="67">
        <v>45457</v>
      </c>
      <c r="D155" s="15" t="s">
        <v>102</v>
      </c>
      <c r="E155" s="15" t="s">
        <v>103</v>
      </c>
      <c r="F155" s="15">
        <v>498</v>
      </c>
      <c r="G155" s="15">
        <v>38</v>
      </c>
      <c r="H155" s="15">
        <v>42</v>
      </c>
      <c r="I155" s="15">
        <v>4482</v>
      </c>
      <c r="J155" s="15">
        <v>3647</v>
      </c>
      <c r="K155" s="15">
        <v>32</v>
      </c>
      <c r="L155" s="15" t="s">
        <v>115</v>
      </c>
      <c r="M155" s="15">
        <v>578</v>
      </c>
      <c r="N155" s="15" t="s">
        <v>118</v>
      </c>
    </row>
    <row r="156" spans="1:14" x14ac:dyDescent="0.3">
      <c r="A156" s="15" t="s">
        <v>312</v>
      </c>
      <c r="B156" s="15" t="s">
        <v>2</v>
      </c>
      <c r="C156" s="67">
        <v>45457</v>
      </c>
      <c r="D156" s="15" t="s">
        <v>102</v>
      </c>
      <c r="E156" s="15" t="s">
        <v>103</v>
      </c>
      <c r="F156" s="15">
        <v>498</v>
      </c>
      <c r="G156" s="15">
        <v>38</v>
      </c>
      <c r="H156" s="15">
        <v>42</v>
      </c>
      <c r="I156" s="15">
        <v>4482</v>
      </c>
      <c r="J156" s="15">
        <v>3647</v>
      </c>
      <c r="K156" s="15">
        <v>32</v>
      </c>
      <c r="L156" s="15" t="s">
        <v>115</v>
      </c>
      <c r="M156" s="15">
        <v>578</v>
      </c>
      <c r="N156" s="15" t="s">
        <v>137</v>
      </c>
    </row>
    <row r="157" spans="1:14" x14ac:dyDescent="0.3">
      <c r="A157" s="15" t="s">
        <v>314</v>
      </c>
      <c r="B157" s="15" t="s">
        <v>2</v>
      </c>
      <c r="C157" s="67">
        <v>45692</v>
      </c>
      <c r="D157" s="15" t="s">
        <v>109</v>
      </c>
      <c r="E157" s="15" t="s">
        <v>110</v>
      </c>
      <c r="F157" s="15">
        <v>4619</v>
      </c>
      <c r="G157" s="15">
        <v>821</v>
      </c>
      <c r="H157" s="15">
        <v>499</v>
      </c>
      <c r="I157" s="15">
        <v>69285</v>
      </c>
      <c r="J157" s="15">
        <v>69141</v>
      </c>
      <c r="K157" s="15">
        <v>298</v>
      </c>
      <c r="L157" s="15" t="s">
        <v>82</v>
      </c>
      <c r="M157" s="15">
        <v>5939</v>
      </c>
      <c r="N157" s="15" t="s">
        <v>87</v>
      </c>
    </row>
    <row r="158" spans="1:14" x14ac:dyDescent="0.3">
      <c r="A158" s="15" t="s">
        <v>316</v>
      </c>
      <c r="B158" s="15" t="s">
        <v>4</v>
      </c>
      <c r="C158" s="67">
        <v>45464</v>
      </c>
      <c r="D158" s="15" t="s">
        <v>109</v>
      </c>
      <c r="E158" s="15" t="s">
        <v>110</v>
      </c>
      <c r="F158" s="15">
        <v>4832</v>
      </c>
      <c r="G158" s="15">
        <v>893</v>
      </c>
      <c r="H158" s="15">
        <v>10</v>
      </c>
      <c r="I158" s="15">
        <v>91808</v>
      </c>
      <c r="J158" s="15">
        <v>91296</v>
      </c>
      <c r="K158" s="15">
        <v>182</v>
      </c>
      <c r="L158" s="15" t="s">
        <v>99</v>
      </c>
      <c r="M158" s="15">
        <v>5735</v>
      </c>
      <c r="N158" s="15" t="s">
        <v>81</v>
      </c>
    </row>
    <row r="159" spans="1:14" x14ac:dyDescent="0.3">
      <c r="A159" s="15" t="s">
        <v>316</v>
      </c>
      <c r="B159" s="15" t="s">
        <v>4</v>
      </c>
      <c r="C159" s="67">
        <v>45464</v>
      </c>
      <c r="D159" s="15" t="s">
        <v>109</v>
      </c>
      <c r="E159" s="15" t="s">
        <v>110</v>
      </c>
      <c r="F159" s="15">
        <v>4832</v>
      </c>
      <c r="G159" s="15">
        <v>893</v>
      </c>
      <c r="H159" s="15">
        <v>10</v>
      </c>
      <c r="I159" s="15">
        <v>91808</v>
      </c>
      <c r="J159" s="15">
        <v>91296</v>
      </c>
      <c r="K159" s="15">
        <v>182</v>
      </c>
      <c r="L159" s="15" t="s">
        <v>99</v>
      </c>
      <c r="M159" s="15">
        <v>5735</v>
      </c>
      <c r="N159" s="15" t="s">
        <v>118</v>
      </c>
    </row>
    <row r="160" spans="1:14" x14ac:dyDescent="0.3">
      <c r="A160" s="15" t="s">
        <v>318</v>
      </c>
      <c r="B160" s="15" t="s">
        <v>3</v>
      </c>
      <c r="C160" s="67">
        <v>45741</v>
      </c>
      <c r="D160" s="15" t="s">
        <v>129</v>
      </c>
      <c r="E160" s="15" t="s">
        <v>130</v>
      </c>
      <c r="F160" s="15">
        <v>4050</v>
      </c>
      <c r="G160" s="15">
        <v>871</v>
      </c>
      <c r="H160" s="15">
        <v>347</v>
      </c>
      <c r="I160" s="15">
        <v>52650</v>
      </c>
      <c r="J160" s="15">
        <v>51755</v>
      </c>
      <c r="K160" s="15">
        <v>209</v>
      </c>
      <c r="L160" s="15" t="s">
        <v>82</v>
      </c>
      <c r="M160" s="15">
        <v>5268</v>
      </c>
      <c r="N160" s="15" t="s">
        <v>118</v>
      </c>
    </row>
    <row r="161" spans="1:14" x14ac:dyDescent="0.3">
      <c r="A161" s="15" t="s">
        <v>318</v>
      </c>
      <c r="B161" s="15" t="s">
        <v>3</v>
      </c>
      <c r="C161" s="67">
        <v>45741</v>
      </c>
      <c r="D161" s="15" t="s">
        <v>129</v>
      </c>
      <c r="E161" s="15" t="s">
        <v>130</v>
      </c>
      <c r="F161" s="15">
        <v>4050</v>
      </c>
      <c r="G161" s="15">
        <v>871</v>
      </c>
      <c r="H161" s="15">
        <v>347</v>
      </c>
      <c r="I161" s="15">
        <v>52650</v>
      </c>
      <c r="J161" s="15">
        <v>51755</v>
      </c>
      <c r="K161" s="15">
        <v>209</v>
      </c>
      <c r="L161" s="15" t="s">
        <v>82</v>
      </c>
      <c r="M161" s="15">
        <v>5268</v>
      </c>
      <c r="N161" s="15" t="s">
        <v>137</v>
      </c>
    </row>
    <row r="162" spans="1:14" x14ac:dyDescent="0.3">
      <c r="A162" s="15" t="s">
        <v>320</v>
      </c>
      <c r="B162" s="15" t="s">
        <v>3</v>
      </c>
      <c r="C162" s="67">
        <v>45512</v>
      </c>
      <c r="D162" s="15" t="s">
        <v>94</v>
      </c>
      <c r="E162" s="15" t="s">
        <v>95</v>
      </c>
      <c r="F162" s="15">
        <v>3649</v>
      </c>
      <c r="G162" s="15">
        <v>215</v>
      </c>
      <c r="H162" s="15">
        <v>413</v>
      </c>
      <c r="I162" s="15">
        <v>25543</v>
      </c>
      <c r="J162" s="15">
        <v>24963</v>
      </c>
      <c r="K162" s="15">
        <v>167</v>
      </c>
      <c r="L162" s="15" t="s">
        <v>82</v>
      </c>
      <c r="M162" s="15">
        <v>4277</v>
      </c>
      <c r="N162" s="15" t="s">
        <v>87</v>
      </c>
    </row>
    <row r="163" spans="1:14" x14ac:dyDescent="0.3">
      <c r="A163" s="15" t="s">
        <v>320</v>
      </c>
      <c r="B163" s="15" t="s">
        <v>3</v>
      </c>
      <c r="C163" s="67">
        <v>45512</v>
      </c>
      <c r="D163" s="15" t="s">
        <v>94</v>
      </c>
      <c r="E163" s="15" t="s">
        <v>95</v>
      </c>
      <c r="F163" s="15">
        <v>3649</v>
      </c>
      <c r="G163" s="15">
        <v>215</v>
      </c>
      <c r="H163" s="15">
        <v>413</v>
      </c>
      <c r="I163" s="15">
        <v>25543</v>
      </c>
      <c r="J163" s="15">
        <v>24963</v>
      </c>
      <c r="K163" s="15">
        <v>167</v>
      </c>
      <c r="L163" s="15" t="s">
        <v>82</v>
      </c>
      <c r="M163" s="15">
        <v>4277</v>
      </c>
      <c r="N163" s="15" t="s">
        <v>118</v>
      </c>
    </row>
    <row r="164" spans="1:14" x14ac:dyDescent="0.3">
      <c r="A164" s="15" t="s">
        <v>322</v>
      </c>
      <c r="B164" s="15" t="s">
        <v>2</v>
      </c>
      <c r="C164" s="67">
        <v>45502</v>
      </c>
      <c r="D164" s="15" t="s">
        <v>79</v>
      </c>
      <c r="E164" s="15" t="s">
        <v>80</v>
      </c>
      <c r="F164" s="15">
        <v>3523</v>
      </c>
      <c r="G164" s="15">
        <v>753</v>
      </c>
      <c r="H164" s="15">
        <v>482</v>
      </c>
      <c r="I164" s="15">
        <v>38753</v>
      </c>
      <c r="J164" s="15">
        <v>38579</v>
      </c>
      <c r="K164" s="15">
        <v>270</v>
      </c>
      <c r="L164" s="15" t="s">
        <v>88</v>
      </c>
      <c r="M164" s="15">
        <v>4758</v>
      </c>
      <c r="N164" s="15" t="s">
        <v>137</v>
      </c>
    </row>
    <row r="165" spans="1:14" x14ac:dyDescent="0.3">
      <c r="A165" s="15" t="s">
        <v>322</v>
      </c>
      <c r="B165" s="15" t="s">
        <v>2</v>
      </c>
      <c r="C165" s="67">
        <v>45502</v>
      </c>
      <c r="D165" s="15" t="s">
        <v>79</v>
      </c>
      <c r="E165" s="15" t="s">
        <v>80</v>
      </c>
      <c r="F165" s="15">
        <v>3523</v>
      </c>
      <c r="G165" s="15">
        <v>753</v>
      </c>
      <c r="H165" s="15">
        <v>482</v>
      </c>
      <c r="I165" s="15">
        <v>38753</v>
      </c>
      <c r="J165" s="15">
        <v>38579</v>
      </c>
      <c r="K165" s="15">
        <v>270</v>
      </c>
      <c r="L165" s="15" t="s">
        <v>88</v>
      </c>
      <c r="M165" s="15">
        <v>4758</v>
      </c>
      <c r="N165" s="15" t="s">
        <v>118</v>
      </c>
    </row>
    <row r="166" spans="1:14" x14ac:dyDescent="0.3">
      <c r="A166" s="15" t="s">
        <v>325</v>
      </c>
      <c r="B166" s="15" t="s">
        <v>4</v>
      </c>
      <c r="C166" s="67">
        <v>45619</v>
      </c>
      <c r="D166" s="15" t="s">
        <v>109</v>
      </c>
      <c r="E166" s="15" t="s">
        <v>110</v>
      </c>
      <c r="F166" s="15">
        <v>2719</v>
      </c>
      <c r="G166" s="15">
        <v>17</v>
      </c>
      <c r="H166" s="15">
        <v>285</v>
      </c>
      <c r="I166" s="15">
        <v>40785</v>
      </c>
      <c r="J166" s="15">
        <v>40281</v>
      </c>
      <c r="K166" s="15">
        <v>40</v>
      </c>
      <c r="L166" s="15" t="s">
        <v>99</v>
      </c>
      <c r="M166" s="15">
        <v>3021</v>
      </c>
      <c r="N166" s="15" t="s">
        <v>87</v>
      </c>
    </row>
    <row r="167" spans="1:14" x14ac:dyDescent="0.3">
      <c r="A167" s="15" t="s">
        <v>325</v>
      </c>
      <c r="B167" s="15" t="s">
        <v>4</v>
      </c>
      <c r="C167" s="67">
        <v>45619</v>
      </c>
      <c r="D167" s="15" t="s">
        <v>109</v>
      </c>
      <c r="E167" s="15" t="s">
        <v>110</v>
      </c>
      <c r="F167" s="15">
        <v>2719</v>
      </c>
      <c r="G167" s="15">
        <v>17</v>
      </c>
      <c r="H167" s="15">
        <v>285</v>
      </c>
      <c r="I167" s="15">
        <v>40785</v>
      </c>
      <c r="J167" s="15">
        <v>40281</v>
      </c>
      <c r="K167" s="15">
        <v>40</v>
      </c>
      <c r="L167" s="15" t="s">
        <v>99</v>
      </c>
      <c r="M167" s="15">
        <v>3021</v>
      </c>
      <c r="N167" s="15" t="s">
        <v>118</v>
      </c>
    </row>
    <row r="168" spans="1:14" x14ac:dyDescent="0.3">
      <c r="A168" s="15" t="s">
        <v>327</v>
      </c>
      <c r="B168" s="15" t="s">
        <v>3</v>
      </c>
      <c r="C168" s="67">
        <v>45570</v>
      </c>
      <c r="D168" s="15" t="s">
        <v>94</v>
      </c>
      <c r="E168" s="15" t="s">
        <v>95</v>
      </c>
      <c r="F168" s="15">
        <v>1957</v>
      </c>
      <c r="G168" s="15">
        <v>877</v>
      </c>
      <c r="H168" s="15">
        <v>238</v>
      </c>
      <c r="I168" s="15">
        <v>17613</v>
      </c>
      <c r="J168" s="15">
        <v>16865</v>
      </c>
      <c r="K168" s="15">
        <v>297</v>
      </c>
      <c r="L168" s="15" t="s">
        <v>99</v>
      </c>
      <c r="M168" s="15">
        <v>3072</v>
      </c>
      <c r="N168" s="15" t="s">
        <v>87</v>
      </c>
    </row>
    <row r="169" spans="1:14" x14ac:dyDescent="0.3">
      <c r="A169" s="15" t="s">
        <v>327</v>
      </c>
      <c r="B169" s="15" t="s">
        <v>3</v>
      </c>
      <c r="C169" s="67">
        <v>45570</v>
      </c>
      <c r="D169" s="15" t="s">
        <v>94</v>
      </c>
      <c r="E169" s="15" t="s">
        <v>95</v>
      </c>
      <c r="F169" s="15">
        <v>1957</v>
      </c>
      <c r="G169" s="15">
        <v>877</v>
      </c>
      <c r="H169" s="15">
        <v>238</v>
      </c>
      <c r="I169" s="15">
        <v>17613</v>
      </c>
      <c r="J169" s="15">
        <v>16865</v>
      </c>
      <c r="K169" s="15">
        <v>297</v>
      </c>
      <c r="L169" s="15" t="s">
        <v>99</v>
      </c>
      <c r="M169" s="15">
        <v>3072</v>
      </c>
      <c r="N169" s="15" t="s">
        <v>81</v>
      </c>
    </row>
    <row r="170" spans="1:14" x14ac:dyDescent="0.3">
      <c r="A170" s="15" t="s">
        <v>329</v>
      </c>
      <c r="B170" s="15" t="s">
        <v>3</v>
      </c>
      <c r="C170" s="67">
        <v>45567</v>
      </c>
      <c r="D170" s="15" t="s">
        <v>102</v>
      </c>
      <c r="E170" s="15" t="s">
        <v>103</v>
      </c>
      <c r="F170" s="15">
        <v>4419</v>
      </c>
      <c r="G170" s="15">
        <v>236</v>
      </c>
      <c r="H170" s="15">
        <v>369</v>
      </c>
      <c r="I170" s="15">
        <v>44190</v>
      </c>
      <c r="J170" s="15">
        <v>43582</v>
      </c>
      <c r="K170" s="15">
        <v>10</v>
      </c>
      <c r="L170" s="15" t="s">
        <v>115</v>
      </c>
      <c r="M170" s="15">
        <v>5024</v>
      </c>
      <c r="N170" s="15" t="s">
        <v>104</v>
      </c>
    </row>
    <row r="171" spans="1:14" x14ac:dyDescent="0.3">
      <c r="A171" s="15" t="s">
        <v>331</v>
      </c>
      <c r="B171" s="15" t="s">
        <v>3</v>
      </c>
      <c r="C171" s="67">
        <v>45610</v>
      </c>
      <c r="D171" s="15" t="s">
        <v>94</v>
      </c>
      <c r="E171" s="15" t="s">
        <v>95</v>
      </c>
      <c r="F171" s="15">
        <v>4000</v>
      </c>
      <c r="G171" s="15">
        <v>689</v>
      </c>
      <c r="H171" s="15">
        <v>488</v>
      </c>
      <c r="I171" s="15">
        <v>40000</v>
      </c>
      <c r="J171" s="15">
        <v>39569</v>
      </c>
      <c r="K171" s="15">
        <v>44</v>
      </c>
      <c r="L171" s="15" t="s">
        <v>99</v>
      </c>
      <c r="M171" s="15">
        <v>5177</v>
      </c>
      <c r="N171" s="15" t="s">
        <v>137</v>
      </c>
    </row>
    <row r="172" spans="1:14" x14ac:dyDescent="0.3">
      <c r="A172" s="15" t="s">
        <v>331</v>
      </c>
      <c r="B172" s="15" t="s">
        <v>3</v>
      </c>
      <c r="C172" s="67">
        <v>45610</v>
      </c>
      <c r="D172" s="15" t="s">
        <v>94</v>
      </c>
      <c r="E172" s="15" t="s">
        <v>95</v>
      </c>
      <c r="F172" s="15">
        <v>4000</v>
      </c>
      <c r="G172" s="15">
        <v>689</v>
      </c>
      <c r="H172" s="15">
        <v>488</v>
      </c>
      <c r="I172" s="15">
        <v>40000</v>
      </c>
      <c r="J172" s="15">
        <v>39569</v>
      </c>
      <c r="K172" s="15">
        <v>44</v>
      </c>
      <c r="L172" s="15" t="s">
        <v>99</v>
      </c>
      <c r="M172" s="15">
        <v>5177</v>
      </c>
      <c r="N172" s="15" t="s">
        <v>87</v>
      </c>
    </row>
    <row r="173" spans="1:14" x14ac:dyDescent="0.3">
      <c r="A173" s="15" t="s">
        <v>333</v>
      </c>
      <c r="B173" s="15" t="s">
        <v>3</v>
      </c>
      <c r="C173" s="67">
        <v>45788</v>
      </c>
      <c r="D173" s="15" t="s">
        <v>109</v>
      </c>
      <c r="E173" s="15" t="s">
        <v>110</v>
      </c>
      <c r="F173" s="15">
        <v>2493</v>
      </c>
      <c r="G173" s="15">
        <v>97</v>
      </c>
      <c r="H173" s="15">
        <v>44</v>
      </c>
      <c r="I173" s="15">
        <v>42381</v>
      </c>
      <c r="J173" s="15">
        <v>41991</v>
      </c>
      <c r="K173" s="15">
        <v>242</v>
      </c>
      <c r="L173" s="15" t="s">
        <v>82</v>
      </c>
      <c r="M173" s="15">
        <v>2634</v>
      </c>
      <c r="N173" s="15" t="s">
        <v>81</v>
      </c>
    </row>
    <row r="174" spans="1:14" x14ac:dyDescent="0.3">
      <c r="A174" s="15" t="s">
        <v>333</v>
      </c>
      <c r="B174" s="15" t="s">
        <v>3</v>
      </c>
      <c r="C174" s="67">
        <v>45788</v>
      </c>
      <c r="D174" s="15" t="s">
        <v>109</v>
      </c>
      <c r="E174" s="15" t="s">
        <v>110</v>
      </c>
      <c r="F174" s="15">
        <v>2493</v>
      </c>
      <c r="G174" s="15">
        <v>97</v>
      </c>
      <c r="H174" s="15">
        <v>44</v>
      </c>
      <c r="I174" s="15">
        <v>42381</v>
      </c>
      <c r="J174" s="15">
        <v>41991</v>
      </c>
      <c r="K174" s="15">
        <v>242</v>
      </c>
      <c r="L174" s="15" t="s">
        <v>82</v>
      </c>
      <c r="M174" s="15">
        <v>2634</v>
      </c>
      <c r="N174" s="15" t="s">
        <v>118</v>
      </c>
    </row>
    <row r="175" spans="1:14" x14ac:dyDescent="0.3">
      <c r="A175" s="15" t="s">
        <v>335</v>
      </c>
      <c r="B175" s="15" t="s">
        <v>4</v>
      </c>
      <c r="C175" s="67">
        <v>45734</v>
      </c>
      <c r="D175" s="15" t="s">
        <v>79</v>
      </c>
      <c r="E175" s="15" t="s">
        <v>80</v>
      </c>
      <c r="F175" s="15">
        <v>3704</v>
      </c>
      <c r="G175" s="15">
        <v>186</v>
      </c>
      <c r="H175" s="15">
        <v>458</v>
      </c>
      <c r="I175" s="15">
        <v>25928</v>
      </c>
      <c r="J175" s="15">
        <v>25081</v>
      </c>
      <c r="K175" s="15">
        <v>131</v>
      </c>
      <c r="L175" s="15" t="s">
        <v>82</v>
      </c>
      <c r="M175" s="15">
        <v>4348</v>
      </c>
      <c r="N175" s="15" t="s">
        <v>118</v>
      </c>
    </row>
    <row r="176" spans="1:14" x14ac:dyDescent="0.3">
      <c r="A176" s="15" t="s">
        <v>337</v>
      </c>
      <c r="B176" s="15" t="s">
        <v>3</v>
      </c>
      <c r="C176" s="67">
        <v>45600</v>
      </c>
      <c r="D176" s="15" t="s">
        <v>109</v>
      </c>
      <c r="E176" s="15" t="s">
        <v>110</v>
      </c>
      <c r="F176" s="15">
        <v>1606</v>
      </c>
      <c r="G176" s="15">
        <v>451</v>
      </c>
      <c r="H176" s="15">
        <v>405</v>
      </c>
      <c r="I176" s="15">
        <v>20878</v>
      </c>
      <c r="J176" s="15">
        <v>20190</v>
      </c>
      <c r="K176" s="15">
        <v>219</v>
      </c>
      <c r="L176" s="15" t="s">
        <v>88</v>
      </c>
      <c r="M176" s="15">
        <v>2462</v>
      </c>
      <c r="N176" s="15" t="s">
        <v>81</v>
      </c>
    </row>
    <row r="177" spans="1:14" x14ac:dyDescent="0.3">
      <c r="A177" s="15" t="s">
        <v>337</v>
      </c>
      <c r="B177" s="15" t="s">
        <v>3</v>
      </c>
      <c r="C177" s="67">
        <v>45600</v>
      </c>
      <c r="D177" s="15" t="s">
        <v>109</v>
      </c>
      <c r="E177" s="15" t="s">
        <v>110</v>
      </c>
      <c r="F177" s="15">
        <v>1606</v>
      </c>
      <c r="G177" s="15">
        <v>451</v>
      </c>
      <c r="H177" s="15">
        <v>405</v>
      </c>
      <c r="I177" s="15">
        <v>20878</v>
      </c>
      <c r="J177" s="15">
        <v>20190</v>
      </c>
      <c r="K177" s="15">
        <v>219</v>
      </c>
      <c r="L177" s="15" t="s">
        <v>88</v>
      </c>
      <c r="M177" s="15">
        <v>2462</v>
      </c>
      <c r="N177" s="15" t="s">
        <v>118</v>
      </c>
    </row>
    <row r="178" spans="1:14" x14ac:dyDescent="0.3">
      <c r="A178" s="15" t="s">
        <v>339</v>
      </c>
      <c r="B178" s="15" t="s">
        <v>1</v>
      </c>
      <c r="C178" s="67">
        <v>45600</v>
      </c>
      <c r="D178" s="15" t="s">
        <v>109</v>
      </c>
      <c r="E178" s="15" t="s">
        <v>110</v>
      </c>
      <c r="F178" s="15">
        <v>4551</v>
      </c>
      <c r="G178" s="15">
        <v>714</v>
      </c>
      <c r="H178" s="15">
        <v>207</v>
      </c>
      <c r="I178" s="15">
        <v>68265</v>
      </c>
      <c r="J178" s="15">
        <v>67754</v>
      </c>
      <c r="K178" s="15">
        <v>57</v>
      </c>
      <c r="L178" s="15" t="s">
        <v>88</v>
      </c>
      <c r="M178" s="15">
        <v>5472</v>
      </c>
      <c r="N178" s="15" t="s">
        <v>104</v>
      </c>
    </row>
    <row r="179" spans="1:14" x14ac:dyDescent="0.3">
      <c r="A179" s="15" t="s">
        <v>340</v>
      </c>
      <c r="B179" s="15" t="s">
        <v>2</v>
      </c>
      <c r="C179" s="67">
        <v>45695</v>
      </c>
      <c r="D179" s="15" t="s">
        <v>79</v>
      </c>
      <c r="E179" s="15" t="s">
        <v>80</v>
      </c>
      <c r="F179" s="15">
        <v>1970</v>
      </c>
      <c r="G179" s="15">
        <v>675</v>
      </c>
      <c r="H179" s="15">
        <v>478</v>
      </c>
      <c r="I179" s="15">
        <v>9850</v>
      </c>
      <c r="J179" s="15">
        <v>8924</v>
      </c>
      <c r="K179" s="15">
        <v>117</v>
      </c>
      <c r="L179" s="15" t="s">
        <v>115</v>
      </c>
      <c r="M179" s="15">
        <v>3123</v>
      </c>
      <c r="N179" s="15" t="s">
        <v>104</v>
      </c>
    </row>
    <row r="180" spans="1:14" x14ac:dyDescent="0.3">
      <c r="A180" s="15" t="s">
        <v>342</v>
      </c>
      <c r="B180" s="15" t="s">
        <v>1</v>
      </c>
      <c r="C180" s="67">
        <v>45586</v>
      </c>
      <c r="D180" s="15" t="s">
        <v>94</v>
      </c>
      <c r="E180" s="15" t="s">
        <v>95</v>
      </c>
      <c r="F180" s="15">
        <v>780</v>
      </c>
      <c r="G180" s="15">
        <v>928</v>
      </c>
      <c r="H180" s="15">
        <v>301</v>
      </c>
      <c r="I180" s="15">
        <v>8580</v>
      </c>
      <c r="J180" s="15">
        <v>8081</v>
      </c>
      <c r="K180" s="15">
        <v>91</v>
      </c>
      <c r="L180" s="15" t="s">
        <v>115</v>
      </c>
      <c r="M180" s="15">
        <v>2009</v>
      </c>
      <c r="N180" s="15" t="s">
        <v>81</v>
      </c>
    </row>
    <row r="181" spans="1:14" x14ac:dyDescent="0.3">
      <c r="A181" s="15" t="s">
        <v>342</v>
      </c>
      <c r="B181" s="15" t="s">
        <v>1</v>
      </c>
      <c r="C181" s="67">
        <v>45586</v>
      </c>
      <c r="D181" s="15" t="s">
        <v>94</v>
      </c>
      <c r="E181" s="15" t="s">
        <v>95</v>
      </c>
      <c r="F181" s="15">
        <v>780</v>
      </c>
      <c r="G181" s="15">
        <v>928</v>
      </c>
      <c r="H181" s="15">
        <v>301</v>
      </c>
      <c r="I181" s="15">
        <v>8580</v>
      </c>
      <c r="J181" s="15">
        <v>8081</v>
      </c>
      <c r="K181" s="15">
        <v>91</v>
      </c>
      <c r="L181" s="15" t="s">
        <v>115</v>
      </c>
      <c r="M181" s="15">
        <v>2009</v>
      </c>
      <c r="N181" s="15" t="s">
        <v>87</v>
      </c>
    </row>
    <row r="182" spans="1:14" x14ac:dyDescent="0.3">
      <c r="A182" s="15" t="s">
        <v>343</v>
      </c>
      <c r="B182" s="15" t="s">
        <v>2</v>
      </c>
      <c r="C182" s="67">
        <v>45502</v>
      </c>
      <c r="D182" s="15" t="s">
        <v>94</v>
      </c>
      <c r="E182" s="15" t="s">
        <v>95</v>
      </c>
      <c r="F182" s="15">
        <v>498</v>
      </c>
      <c r="G182" s="15">
        <v>701</v>
      </c>
      <c r="H182" s="15">
        <v>412</v>
      </c>
      <c r="I182" s="15">
        <v>4980</v>
      </c>
      <c r="J182" s="15">
        <v>4185</v>
      </c>
      <c r="K182" s="15">
        <v>185</v>
      </c>
      <c r="L182" s="15" t="s">
        <v>115</v>
      </c>
      <c r="M182" s="15">
        <v>1611</v>
      </c>
      <c r="N182" s="15" t="s">
        <v>137</v>
      </c>
    </row>
    <row r="183" spans="1:14" x14ac:dyDescent="0.3">
      <c r="A183" s="15" t="s">
        <v>343</v>
      </c>
      <c r="B183" s="15" t="s">
        <v>2</v>
      </c>
      <c r="C183" s="67">
        <v>45502</v>
      </c>
      <c r="D183" s="15" t="s">
        <v>94</v>
      </c>
      <c r="E183" s="15" t="s">
        <v>95</v>
      </c>
      <c r="F183" s="15">
        <v>498</v>
      </c>
      <c r="G183" s="15">
        <v>701</v>
      </c>
      <c r="H183" s="15">
        <v>412</v>
      </c>
      <c r="I183" s="15">
        <v>4980</v>
      </c>
      <c r="J183" s="15">
        <v>4185</v>
      </c>
      <c r="K183" s="15">
        <v>185</v>
      </c>
      <c r="L183" s="15" t="s">
        <v>115</v>
      </c>
      <c r="M183" s="15">
        <v>1611</v>
      </c>
      <c r="N183" s="15" t="s">
        <v>118</v>
      </c>
    </row>
    <row r="184" spans="1:14" x14ac:dyDescent="0.3">
      <c r="A184" s="15" t="s">
        <v>344</v>
      </c>
      <c r="B184" s="15" t="s">
        <v>2</v>
      </c>
      <c r="C184" s="67">
        <v>45567</v>
      </c>
      <c r="D184" s="15" t="s">
        <v>85</v>
      </c>
      <c r="E184" s="15" t="s">
        <v>86</v>
      </c>
      <c r="F184" s="15">
        <v>3432</v>
      </c>
      <c r="G184" s="15">
        <v>869</v>
      </c>
      <c r="H184" s="15">
        <v>123</v>
      </c>
      <c r="I184" s="15">
        <v>54912</v>
      </c>
      <c r="J184" s="15">
        <v>53916</v>
      </c>
      <c r="K184" s="15">
        <v>264</v>
      </c>
      <c r="L184" s="15" t="s">
        <v>88</v>
      </c>
      <c r="M184" s="15">
        <v>4424</v>
      </c>
      <c r="N184" s="15" t="s">
        <v>87</v>
      </c>
    </row>
    <row r="185" spans="1:14" x14ac:dyDescent="0.3">
      <c r="A185" s="15" t="s">
        <v>344</v>
      </c>
      <c r="B185" s="15" t="s">
        <v>2</v>
      </c>
      <c r="C185" s="67">
        <v>45567</v>
      </c>
      <c r="D185" s="15" t="s">
        <v>85</v>
      </c>
      <c r="E185" s="15" t="s">
        <v>86</v>
      </c>
      <c r="F185" s="15">
        <v>3432</v>
      </c>
      <c r="G185" s="15">
        <v>869</v>
      </c>
      <c r="H185" s="15">
        <v>123</v>
      </c>
      <c r="I185" s="15">
        <v>54912</v>
      </c>
      <c r="J185" s="15">
        <v>53916</v>
      </c>
      <c r="K185" s="15">
        <v>264</v>
      </c>
      <c r="L185" s="15" t="s">
        <v>88</v>
      </c>
      <c r="M185" s="15">
        <v>4424</v>
      </c>
      <c r="N185" s="15" t="s">
        <v>104</v>
      </c>
    </row>
    <row r="186" spans="1:14" x14ac:dyDescent="0.3">
      <c r="A186" s="15" t="s">
        <v>346</v>
      </c>
      <c r="B186" s="15" t="s">
        <v>2</v>
      </c>
      <c r="C186" s="67">
        <v>45457</v>
      </c>
      <c r="D186" s="15" t="s">
        <v>94</v>
      </c>
      <c r="E186" s="15" t="s">
        <v>95</v>
      </c>
      <c r="F186" s="15">
        <v>4363</v>
      </c>
      <c r="G186" s="15">
        <v>649</v>
      </c>
      <c r="H186" s="15">
        <v>140</v>
      </c>
      <c r="I186" s="15">
        <v>21815</v>
      </c>
      <c r="J186" s="15">
        <v>21481</v>
      </c>
      <c r="K186" s="15">
        <v>157</v>
      </c>
      <c r="L186" s="15" t="s">
        <v>88</v>
      </c>
      <c r="M186" s="15">
        <v>5152</v>
      </c>
      <c r="N186" s="15" t="s">
        <v>81</v>
      </c>
    </row>
    <row r="187" spans="1:14" x14ac:dyDescent="0.3">
      <c r="A187" s="15" t="s">
        <v>346</v>
      </c>
      <c r="B187" s="15" t="s">
        <v>2</v>
      </c>
      <c r="C187" s="67">
        <v>45457</v>
      </c>
      <c r="D187" s="15" t="s">
        <v>94</v>
      </c>
      <c r="E187" s="15" t="s">
        <v>95</v>
      </c>
      <c r="F187" s="15">
        <v>4363</v>
      </c>
      <c r="G187" s="15">
        <v>649</v>
      </c>
      <c r="H187" s="15">
        <v>140</v>
      </c>
      <c r="I187" s="15">
        <v>21815</v>
      </c>
      <c r="J187" s="15">
        <v>21481</v>
      </c>
      <c r="K187" s="15">
        <v>157</v>
      </c>
      <c r="L187" s="15" t="s">
        <v>88</v>
      </c>
      <c r="M187" s="15">
        <v>5152</v>
      </c>
      <c r="N187" s="15" t="s">
        <v>87</v>
      </c>
    </row>
    <row r="188" spans="1:14" x14ac:dyDescent="0.3">
      <c r="A188" s="15" t="s">
        <v>347</v>
      </c>
      <c r="B188" s="15" t="s">
        <v>4</v>
      </c>
      <c r="C188" s="67">
        <v>45753</v>
      </c>
      <c r="D188" s="15" t="s">
        <v>102</v>
      </c>
      <c r="E188" s="15" t="s">
        <v>103</v>
      </c>
      <c r="F188" s="15">
        <v>736</v>
      </c>
      <c r="G188" s="15">
        <v>771</v>
      </c>
      <c r="H188" s="15">
        <v>225</v>
      </c>
      <c r="I188" s="15">
        <v>5152</v>
      </c>
      <c r="J188" s="15">
        <v>4706</v>
      </c>
      <c r="K188" s="15">
        <v>19</v>
      </c>
      <c r="L188" s="15" t="s">
        <v>99</v>
      </c>
      <c r="M188" s="15">
        <v>1732</v>
      </c>
      <c r="N188" s="15" t="s">
        <v>118</v>
      </c>
    </row>
    <row r="189" spans="1:14" x14ac:dyDescent="0.3">
      <c r="A189" s="15" t="s">
        <v>349</v>
      </c>
      <c r="B189" s="15" t="s">
        <v>3</v>
      </c>
      <c r="C189" s="67">
        <v>45543</v>
      </c>
      <c r="D189" s="15" t="s">
        <v>102</v>
      </c>
      <c r="E189" s="15" t="s">
        <v>103</v>
      </c>
      <c r="F189" s="15">
        <v>3811</v>
      </c>
      <c r="G189" s="15">
        <v>866</v>
      </c>
      <c r="H189" s="15">
        <v>216</v>
      </c>
      <c r="I189" s="15">
        <v>34299</v>
      </c>
      <c r="J189" s="15">
        <v>34088</v>
      </c>
      <c r="K189" s="15">
        <v>233</v>
      </c>
      <c r="L189" s="15" t="s">
        <v>99</v>
      </c>
      <c r="M189" s="15">
        <v>4893</v>
      </c>
      <c r="N189" s="15" t="s">
        <v>118</v>
      </c>
    </row>
    <row r="190" spans="1:14" x14ac:dyDescent="0.3">
      <c r="A190" s="15" t="s">
        <v>351</v>
      </c>
      <c r="B190" s="15" t="s">
        <v>2</v>
      </c>
      <c r="C190" s="67">
        <v>45744</v>
      </c>
      <c r="D190" s="15" t="s">
        <v>102</v>
      </c>
      <c r="E190" s="15" t="s">
        <v>103</v>
      </c>
      <c r="F190" s="15">
        <v>4158</v>
      </c>
      <c r="G190" s="15">
        <v>167</v>
      </c>
      <c r="H190" s="15">
        <v>241</v>
      </c>
      <c r="I190" s="15">
        <v>45738</v>
      </c>
      <c r="J190" s="15">
        <v>45183</v>
      </c>
      <c r="K190" s="15">
        <v>142</v>
      </c>
      <c r="L190" s="15" t="s">
        <v>88</v>
      </c>
      <c r="M190" s="15">
        <v>4566</v>
      </c>
      <c r="N190" s="15" t="s">
        <v>87</v>
      </c>
    </row>
    <row r="191" spans="1:14" x14ac:dyDescent="0.3">
      <c r="A191" s="15" t="s">
        <v>352</v>
      </c>
      <c r="B191" s="15" t="s">
        <v>1</v>
      </c>
      <c r="C191" s="67">
        <v>45684</v>
      </c>
      <c r="D191" s="15" t="s">
        <v>79</v>
      </c>
      <c r="E191" s="15" t="s">
        <v>80</v>
      </c>
      <c r="F191" s="15">
        <v>3452</v>
      </c>
      <c r="G191" s="15">
        <v>652</v>
      </c>
      <c r="H191" s="15">
        <v>442</v>
      </c>
      <c r="I191" s="15">
        <v>65588</v>
      </c>
      <c r="J191" s="15">
        <v>65049</v>
      </c>
      <c r="K191" s="15">
        <v>158</v>
      </c>
      <c r="L191" s="15" t="s">
        <v>82</v>
      </c>
      <c r="M191" s="15">
        <v>4546</v>
      </c>
      <c r="N191" s="15" t="s">
        <v>81</v>
      </c>
    </row>
    <row r="192" spans="1:14" x14ac:dyDescent="0.3">
      <c r="A192" s="15" t="s">
        <v>352</v>
      </c>
      <c r="B192" s="15" t="s">
        <v>1</v>
      </c>
      <c r="C192" s="67">
        <v>45684</v>
      </c>
      <c r="D192" s="15" t="s">
        <v>79</v>
      </c>
      <c r="E192" s="15" t="s">
        <v>80</v>
      </c>
      <c r="F192" s="15">
        <v>3452</v>
      </c>
      <c r="G192" s="15">
        <v>652</v>
      </c>
      <c r="H192" s="15">
        <v>442</v>
      </c>
      <c r="I192" s="15">
        <v>65588</v>
      </c>
      <c r="J192" s="15">
        <v>65049</v>
      </c>
      <c r="K192" s="15">
        <v>158</v>
      </c>
      <c r="L192" s="15" t="s">
        <v>82</v>
      </c>
      <c r="M192" s="15">
        <v>4546</v>
      </c>
      <c r="N192" s="15" t="s">
        <v>118</v>
      </c>
    </row>
    <row r="193" spans="1:14" x14ac:dyDescent="0.3">
      <c r="A193" s="15" t="s">
        <v>353</v>
      </c>
      <c r="B193" s="15" t="s">
        <v>3</v>
      </c>
      <c r="C193" s="67">
        <v>45667</v>
      </c>
      <c r="D193" s="15" t="s">
        <v>109</v>
      </c>
      <c r="E193" s="15" t="s">
        <v>110</v>
      </c>
      <c r="F193" s="15">
        <v>3092</v>
      </c>
      <c r="G193" s="15">
        <v>106</v>
      </c>
      <c r="H193" s="15">
        <v>291</v>
      </c>
      <c r="I193" s="15">
        <v>27828</v>
      </c>
      <c r="J193" s="15">
        <v>27217</v>
      </c>
      <c r="K193" s="15">
        <v>102</v>
      </c>
      <c r="L193" s="15" t="s">
        <v>115</v>
      </c>
      <c r="M193" s="15">
        <v>3489</v>
      </c>
      <c r="N193" s="15" t="s">
        <v>118</v>
      </c>
    </row>
    <row r="194" spans="1:14" x14ac:dyDescent="0.3">
      <c r="A194" s="15" t="s">
        <v>354</v>
      </c>
      <c r="B194" s="15" t="s">
        <v>3</v>
      </c>
      <c r="C194" s="67">
        <v>45494</v>
      </c>
      <c r="D194" s="15" t="s">
        <v>85</v>
      </c>
      <c r="E194" s="15" t="s">
        <v>86</v>
      </c>
      <c r="F194" s="15">
        <v>2147</v>
      </c>
      <c r="G194" s="15">
        <v>430</v>
      </c>
      <c r="H194" s="15">
        <v>393</v>
      </c>
      <c r="I194" s="15">
        <v>17176</v>
      </c>
      <c r="J194" s="15">
        <v>16483</v>
      </c>
      <c r="K194" s="15">
        <v>170</v>
      </c>
      <c r="L194" s="15" t="s">
        <v>115</v>
      </c>
      <c r="M194" s="15">
        <v>2970</v>
      </c>
      <c r="N194" s="15" t="s">
        <v>137</v>
      </c>
    </row>
    <row r="195" spans="1:14" x14ac:dyDescent="0.3">
      <c r="A195" s="15" t="s">
        <v>355</v>
      </c>
      <c r="B195" s="15" t="s">
        <v>4</v>
      </c>
      <c r="C195" s="67">
        <v>45564</v>
      </c>
      <c r="D195" s="15" t="s">
        <v>79</v>
      </c>
      <c r="E195" s="15" t="s">
        <v>80</v>
      </c>
      <c r="F195" s="15">
        <v>2936</v>
      </c>
      <c r="G195" s="15">
        <v>439</v>
      </c>
      <c r="H195" s="15">
        <v>44</v>
      </c>
      <c r="I195" s="15">
        <v>38168</v>
      </c>
      <c r="J195" s="15">
        <v>37571</v>
      </c>
      <c r="K195" s="15">
        <v>22</v>
      </c>
      <c r="L195" s="15" t="s">
        <v>99</v>
      </c>
      <c r="M195" s="15">
        <v>3419</v>
      </c>
      <c r="N195" s="15" t="s">
        <v>81</v>
      </c>
    </row>
    <row r="196" spans="1:14" x14ac:dyDescent="0.3">
      <c r="A196" s="15" t="s">
        <v>357</v>
      </c>
      <c r="B196" s="15" t="s">
        <v>2</v>
      </c>
      <c r="C196" s="67">
        <v>45586</v>
      </c>
      <c r="D196" s="15" t="s">
        <v>79</v>
      </c>
      <c r="E196" s="15" t="s">
        <v>80</v>
      </c>
      <c r="F196" s="15">
        <v>4840</v>
      </c>
      <c r="G196" s="15">
        <v>658</v>
      </c>
      <c r="H196" s="15">
        <v>211</v>
      </c>
      <c r="I196" s="15">
        <v>43560</v>
      </c>
      <c r="J196" s="15">
        <v>43225</v>
      </c>
      <c r="K196" s="15">
        <v>57</v>
      </c>
      <c r="L196" s="15" t="s">
        <v>88</v>
      </c>
      <c r="M196" s="15">
        <v>5709</v>
      </c>
      <c r="N196" s="15" t="s">
        <v>81</v>
      </c>
    </row>
    <row r="197" spans="1:14" x14ac:dyDescent="0.3">
      <c r="A197" s="15" t="s">
        <v>357</v>
      </c>
      <c r="B197" s="15" t="s">
        <v>2</v>
      </c>
      <c r="C197" s="67">
        <v>45586</v>
      </c>
      <c r="D197" s="15" t="s">
        <v>79</v>
      </c>
      <c r="E197" s="15" t="s">
        <v>80</v>
      </c>
      <c r="F197" s="15">
        <v>4840</v>
      </c>
      <c r="G197" s="15">
        <v>658</v>
      </c>
      <c r="H197" s="15">
        <v>211</v>
      </c>
      <c r="I197" s="15">
        <v>43560</v>
      </c>
      <c r="J197" s="15">
        <v>43225</v>
      </c>
      <c r="K197" s="15">
        <v>57</v>
      </c>
      <c r="L197" s="15" t="s">
        <v>88</v>
      </c>
      <c r="M197" s="15">
        <v>5709</v>
      </c>
      <c r="N197" s="15" t="s">
        <v>87</v>
      </c>
    </row>
    <row r="198" spans="1:14" x14ac:dyDescent="0.3">
      <c r="A198" s="15" t="s">
        <v>358</v>
      </c>
      <c r="B198" s="15" t="s">
        <v>2</v>
      </c>
      <c r="C198" s="67">
        <v>45720</v>
      </c>
      <c r="D198" s="15" t="s">
        <v>94</v>
      </c>
      <c r="E198" s="15" t="s">
        <v>95</v>
      </c>
      <c r="F198" s="15">
        <v>1947</v>
      </c>
      <c r="G198" s="15">
        <v>842</v>
      </c>
      <c r="H198" s="15">
        <v>101</v>
      </c>
      <c r="I198" s="15">
        <v>21417</v>
      </c>
      <c r="J198" s="15">
        <v>20967</v>
      </c>
      <c r="K198" s="15">
        <v>186</v>
      </c>
      <c r="L198" s="15" t="s">
        <v>88</v>
      </c>
      <c r="M198" s="15">
        <v>2890</v>
      </c>
      <c r="N198" s="15" t="s">
        <v>87</v>
      </c>
    </row>
    <row r="199" spans="1:14" x14ac:dyDescent="0.3">
      <c r="A199" s="15" t="s">
        <v>359</v>
      </c>
      <c r="B199" s="15" t="s">
        <v>1</v>
      </c>
      <c r="C199" s="67">
        <v>45694</v>
      </c>
      <c r="D199" s="15" t="s">
        <v>109</v>
      </c>
      <c r="E199" s="15" t="s">
        <v>110</v>
      </c>
      <c r="F199" s="15">
        <v>2072</v>
      </c>
      <c r="G199" s="15">
        <v>532</v>
      </c>
      <c r="H199" s="15">
        <v>71</v>
      </c>
      <c r="I199" s="15">
        <v>37296</v>
      </c>
      <c r="J199" s="15">
        <v>36467</v>
      </c>
      <c r="K199" s="15">
        <v>25</v>
      </c>
      <c r="L199" s="15" t="s">
        <v>99</v>
      </c>
      <c r="M199" s="15">
        <v>2675</v>
      </c>
      <c r="N199" s="15" t="s">
        <v>81</v>
      </c>
    </row>
    <row r="200" spans="1:14" x14ac:dyDescent="0.3">
      <c r="A200" s="15" t="s">
        <v>361</v>
      </c>
      <c r="B200" s="15" t="s">
        <v>3</v>
      </c>
      <c r="C200" s="67">
        <v>45771</v>
      </c>
      <c r="D200" s="15" t="s">
        <v>79</v>
      </c>
      <c r="E200" s="15" t="s">
        <v>80</v>
      </c>
      <c r="F200" s="15">
        <v>3731</v>
      </c>
      <c r="G200" s="15">
        <v>115</v>
      </c>
      <c r="H200" s="15">
        <v>135</v>
      </c>
      <c r="I200" s="15">
        <v>55965</v>
      </c>
      <c r="J200" s="15">
        <v>55436</v>
      </c>
      <c r="K200" s="15">
        <v>103</v>
      </c>
      <c r="L200" s="15" t="s">
        <v>115</v>
      </c>
      <c r="M200" s="15">
        <v>3981</v>
      </c>
      <c r="N200" s="15" t="s">
        <v>137</v>
      </c>
    </row>
    <row r="201" spans="1:14" x14ac:dyDescent="0.3">
      <c r="A201" s="15" t="s">
        <v>363</v>
      </c>
      <c r="B201" s="15" t="s">
        <v>1</v>
      </c>
      <c r="C201" s="67">
        <v>45624</v>
      </c>
      <c r="D201" s="15" t="s">
        <v>85</v>
      </c>
      <c r="E201" s="15" t="s">
        <v>86</v>
      </c>
      <c r="F201" s="15">
        <v>4213</v>
      </c>
      <c r="G201" s="15">
        <v>253</v>
      </c>
      <c r="H201" s="15">
        <v>434</v>
      </c>
      <c r="I201" s="15">
        <v>75834</v>
      </c>
      <c r="J201" s="15">
        <v>75437</v>
      </c>
      <c r="K201" s="15">
        <v>272</v>
      </c>
      <c r="L201" s="15" t="s">
        <v>99</v>
      </c>
      <c r="M201" s="15">
        <v>4900</v>
      </c>
      <c r="N201" s="15" t="s">
        <v>104</v>
      </c>
    </row>
    <row r="202" spans="1:14" x14ac:dyDescent="0.3">
      <c r="A202" s="15" t="s">
        <v>365</v>
      </c>
      <c r="B202" s="15" t="s">
        <v>2</v>
      </c>
      <c r="C202" s="67">
        <v>45484</v>
      </c>
      <c r="D202" s="15" t="s">
        <v>85</v>
      </c>
      <c r="E202" s="15" t="s">
        <v>86</v>
      </c>
      <c r="F202" s="15">
        <v>3134</v>
      </c>
      <c r="G202" s="15">
        <v>888</v>
      </c>
      <c r="H202" s="15">
        <v>444</v>
      </c>
      <c r="I202" s="15">
        <v>21938</v>
      </c>
      <c r="J202" s="15">
        <v>21337</v>
      </c>
      <c r="K202" s="15">
        <v>130</v>
      </c>
      <c r="L202" s="15" t="s">
        <v>115</v>
      </c>
      <c r="M202" s="15">
        <v>4466</v>
      </c>
      <c r="N202" s="15" t="s">
        <v>81</v>
      </c>
    </row>
    <row r="203" spans="1:14" x14ac:dyDescent="0.3">
      <c r="A203" s="15" t="s">
        <v>365</v>
      </c>
      <c r="B203" s="15" t="s">
        <v>2</v>
      </c>
      <c r="C203" s="67">
        <v>45484</v>
      </c>
      <c r="D203" s="15" t="s">
        <v>85</v>
      </c>
      <c r="E203" s="15" t="s">
        <v>86</v>
      </c>
      <c r="F203" s="15">
        <v>3134</v>
      </c>
      <c r="G203" s="15">
        <v>888</v>
      </c>
      <c r="H203" s="15">
        <v>444</v>
      </c>
      <c r="I203" s="15">
        <v>21938</v>
      </c>
      <c r="J203" s="15">
        <v>21337</v>
      </c>
      <c r="K203" s="15">
        <v>130</v>
      </c>
      <c r="L203" s="15" t="s">
        <v>115</v>
      </c>
      <c r="M203" s="15">
        <v>4466</v>
      </c>
      <c r="N203" s="15" t="s">
        <v>87</v>
      </c>
    </row>
    <row r="204" spans="1:14" x14ac:dyDescent="0.3">
      <c r="A204" s="15" t="s">
        <v>367</v>
      </c>
      <c r="B204" s="15" t="s">
        <v>1</v>
      </c>
      <c r="C204" s="67">
        <v>45504</v>
      </c>
      <c r="D204" s="15" t="s">
        <v>129</v>
      </c>
      <c r="E204" s="15" t="s">
        <v>130</v>
      </c>
      <c r="F204" s="15">
        <v>3008</v>
      </c>
      <c r="G204" s="15">
        <v>94</v>
      </c>
      <c r="H204" s="15">
        <v>37</v>
      </c>
      <c r="I204" s="15">
        <v>15040</v>
      </c>
      <c r="J204" s="15">
        <v>14639</v>
      </c>
      <c r="K204" s="15">
        <v>277</v>
      </c>
      <c r="L204" s="15" t="s">
        <v>82</v>
      </c>
      <c r="M204" s="15">
        <v>3139</v>
      </c>
      <c r="N204" s="15" t="s">
        <v>137</v>
      </c>
    </row>
    <row r="205" spans="1:14" x14ac:dyDescent="0.3">
      <c r="A205" s="15" t="s">
        <v>368</v>
      </c>
      <c r="B205" s="15" t="s">
        <v>3</v>
      </c>
      <c r="C205" s="67">
        <v>45745</v>
      </c>
      <c r="D205" s="15" t="s">
        <v>109</v>
      </c>
      <c r="E205" s="15" t="s">
        <v>110</v>
      </c>
      <c r="F205" s="15">
        <v>305</v>
      </c>
      <c r="G205" s="15">
        <v>187</v>
      </c>
      <c r="H205" s="15">
        <v>243</v>
      </c>
      <c r="I205" s="15">
        <v>4575</v>
      </c>
      <c r="J205" s="15">
        <v>3704</v>
      </c>
      <c r="K205" s="15">
        <v>234</v>
      </c>
      <c r="L205" s="15" t="s">
        <v>115</v>
      </c>
      <c r="M205" s="15">
        <v>735</v>
      </c>
      <c r="N205" s="15" t="s">
        <v>87</v>
      </c>
    </row>
    <row r="206" spans="1:14" x14ac:dyDescent="0.3">
      <c r="A206" s="15" t="s">
        <v>368</v>
      </c>
      <c r="B206" s="15" t="s">
        <v>3</v>
      </c>
      <c r="C206" s="67">
        <v>45745</v>
      </c>
      <c r="D206" s="15" t="s">
        <v>109</v>
      </c>
      <c r="E206" s="15" t="s">
        <v>110</v>
      </c>
      <c r="F206" s="15">
        <v>305</v>
      </c>
      <c r="G206" s="15">
        <v>187</v>
      </c>
      <c r="H206" s="15">
        <v>243</v>
      </c>
      <c r="I206" s="15">
        <v>4575</v>
      </c>
      <c r="J206" s="15">
        <v>3704</v>
      </c>
      <c r="K206" s="15">
        <v>234</v>
      </c>
      <c r="L206" s="15" t="s">
        <v>115</v>
      </c>
      <c r="M206" s="15">
        <v>735</v>
      </c>
      <c r="N206" s="15" t="s">
        <v>104</v>
      </c>
    </row>
    <row r="207" spans="1:14" x14ac:dyDescent="0.3">
      <c r="A207" s="15" t="s">
        <v>369</v>
      </c>
      <c r="B207" s="15" t="s">
        <v>4</v>
      </c>
      <c r="C207" s="67">
        <v>45594</v>
      </c>
      <c r="D207" s="15" t="s">
        <v>85</v>
      </c>
      <c r="E207" s="15" t="s">
        <v>86</v>
      </c>
      <c r="F207" s="15">
        <v>2746</v>
      </c>
      <c r="G207" s="15">
        <v>156</v>
      </c>
      <c r="H207" s="15">
        <v>203</v>
      </c>
      <c r="I207" s="15">
        <v>32952</v>
      </c>
      <c r="J207" s="15">
        <v>32147</v>
      </c>
      <c r="K207" s="15">
        <v>147</v>
      </c>
      <c r="L207" s="15" t="s">
        <v>88</v>
      </c>
      <c r="M207" s="15">
        <v>3105</v>
      </c>
      <c r="N207" s="15" t="s">
        <v>87</v>
      </c>
    </row>
    <row r="208" spans="1:14" x14ac:dyDescent="0.3">
      <c r="A208" s="15" t="s">
        <v>369</v>
      </c>
      <c r="B208" s="15" t="s">
        <v>4</v>
      </c>
      <c r="C208" s="67">
        <v>45594</v>
      </c>
      <c r="D208" s="15" t="s">
        <v>85</v>
      </c>
      <c r="E208" s="15" t="s">
        <v>86</v>
      </c>
      <c r="F208" s="15">
        <v>2746</v>
      </c>
      <c r="G208" s="15">
        <v>156</v>
      </c>
      <c r="H208" s="15">
        <v>203</v>
      </c>
      <c r="I208" s="15">
        <v>32952</v>
      </c>
      <c r="J208" s="15">
        <v>32147</v>
      </c>
      <c r="K208" s="15">
        <v>147</v>
      </c>
      <c r="L208" s="15" t="s">
        <v>88</v>
      </c>
      <c r="M208" s="15">
        <v>3105</v>
      </c>
      <c r="N208" s="15" t="s">
        <v>118</v>
      </c>
    </row>
    <row r="209" spans="1:14" x14ac:dyDescent="0.3">
      <c r="A209" s="15" t="s">
        <v>371</v>
      </c>
      <c r="B209" s="15" t="s">
        <v>1</v>
      </c>
      <c r="C209" s="67">
        <v>45488</v>
      </c>
      <c r="D209" s="15" t="s">
        <v>109</v>
      </c>
      <c r="E209" s="15" t="s">
        <v>110</v>
      </c>
      <c r="F209" s="15">
        <v>2291</v>
      </c>
      <c r="G209" s="15">
        <v>78</v>
      </c>
      <c r="H209" s="15">
        <v>485</v>
      </c>
      <c r="I209" s="15">
        <v>18328</v>
      </c>
      <c r="J209" s="15">
        <v>18101</v>
      </c>
      <c r="K209" s="15">
        <v>10</v>
      </c>
      <c r="L209" s="15" t="s">
        <v>82</v>
      </c>
      <c r="M209" s="15">
        <v>2854</v>
      </c>
      <c r="N209" s="15" t="s">
        <v>137</v>
      </c>
    </row>
    <row r="210" spans="1:14" x14ac:dyDescent="0.3">
      <c r="A210" s="15" t="s">
        <v>373</v>
      </c>
      <c r="B210" s="15" t="s">
        <v>3</v>
      </c>
      <c r="C210" s="67">
        <v>45535</v>
      </c>
      <c r="D210" s="15" t="s">
        <v>109</v>
      </c>
      <c r="E210" s="15" t="s">
        <v>110</v>
      </c>
      <c r="F210" s="15">
        <v>3170</v>
      </c>
      <c r="G210" s="15">
        <v>857</v>
      </c>
      <c r="H210" s="15">
        <v>379</v>
      </c>
      <c r="I210" s="15">
        <v>19020</v>
      </c>
      <c r="J210" s="15">
        <v>18559</v>
      </c>
      <c r="K210" s="15">
        <v>240</v>
      </c>
      <c r="L210" s="15" t="s">
        <v>99</v>
      </c>
      <c r="M210" s="15">
        <v>4406</v>
      </c>
      <c r="N210" s="15" t="s">
        <v>81</v>
      </c>
    </row>
    <row r="211" spans="1:14" x14ac:dyDescent="0.3">
      <c r="A211" s="15" t="s">
        <v>375</v>
      </c>
      <c r="B211" s="15" t="s">
        <v>4</v>
      </c>
      <c r="C211" s="67">
        <v>45741</v>
      </c>
      <c r="D211" s="15" t="s">
        <v>94</v>
      </c>
      <c r="E211" s="15" t="s">
        <v>95</v>
      </c>
      <c r="F211" s="15">
        <v>2070</v>
      </c>
      <c r="G211" s="15">
        <v>275</v>
      </c>
      <c r="H211" s="15">
        <v>386</v>
      </c>
      <c r="I211" s="15">
        <v>39330</v>
      </c>
      <c r="J211" s="15">
        <v>38627</v>
      </c>
      <c r="K211" s="15">
        <v>114</v>
      </c>
      <c r="L211" s="15" t="s">
        <v>115</v>
      </c>
      <c r="M211" s="15">
        <v>2731</v>
      </c>
      <c r="N211" s="15" t="s">
        <v>81</v>
      </c>
    </row>
    <row r="212" spans="1:14" x14ac:dyDescent="0.3">
      <c r="A212" s="15" t="s">
        <v>376</v>
      </c>
      <c r="B212" s="15" t="s">
        <v>4</v>
      </c>
      <c r="C212" s="67">
        <v>45567</v>
      </c>
      <c r="D212" s="15" t="s">
        <v>102</v>
      </c>
      <c r="E212" s="15" t="s">
        <v>103</v>
      </c>
      <c r="F212" s="15">
        <v>80</v>
      </c>
      <c r="G212" s="15">
        <v>362</v>
      </c>
      <c r="H212" s="15">
        <v>80</v>
      </c>
      <c r="I212" s="15">
        <v>1040</v>
      </c>
      <c r="J212" s="15">
        <v>349</v>
      </c>
      <c r="K212" s="15">
        <v>117</v>
      </c>
      <c r="L212" s="15" t="s">
        <v>88</v>
      </c>
      <c r="M212" s="15">
        <v>522</v>
      </c>
      <c r="N212" s="15" t="s">
        <v>87</v>
      </c>
    </row>
    <row r="213" spans="1:14" x14ac:dyDescent="0.3">
      <c r="A213" s="15" t="s">
        <v>376</v>
      </c>
      <c r="B213" s="15" t="s">
        <v>4</v>
      </c>
      <c r="C213" s="67">
        <v>45567</v>
      </c>
      <c r="D213" s="15" t="s">
        <v>102</v>
      </c>
      <c r="E213" s="15" t="s">
        <v>103</v>
      </c>
      <c r="F213" s="15">
        <v>80</v>
      </c>
      <c r="G213" s="15">
        <v>362</v>
      </c>
      <c r="H213" s="15">
        <v>80</v>
      </c>
      <c r="I213" s="15">
        <v>1040</v>
      </c>
      <c r="J213" s="15">
        <v>349</v>
      </c>
      <c r="K213" s="15">
        <v>117</v>
      </c>
      <c r="L213" s="15" t="s">
        <v>88</v>
      </c>
      <c r="M213" s="15">
        <v>522</v>
      </c>
      <c r="N213" s="15" t="s">
        <v>118</v>
      </c>
    </row>
    <row r="214" spans="1:14" x14ac:dyDescent="0.3">
      <c r="A214" s="15" t="s">
        <v>377</v>
      </c>
      <c r="B214" s="15" t="s">
        <v>4</v>
      </c>
      <c r="C214" s="67">
        <v>45593</v>
      </c>
      <c r="D214" s="15" t="s">
        <v>94</v>
      </c>
      <c r="E214" s="15" t="s">
        <v>95</v>
      </c>
      <c r="F214" s="15">
        <v>4929</v>
      </c>
      <c r="G214" s="15">
        <v>749</v>
      </c>
      <c r="H214" s="15">
        <v>452</v>
      </c>
      <c r="I214" s="15">
        <v>93651</v>
      </c>
      <c r="J214" s="15">
        <v>92810</v>
      </c>
      <c r="K214" s="15">
        <v>66</v>
      </c>
      <c r="L214" s="15" t="s">
        <v>82</v>
      </c>
      <c r="M214" s="15">
        <v>6130</v>
      </c>
      <c r="N214" s="15" t="s">
        <v>104</v>
      </c>
    </row>
    <row r="215" spans="1:14" x14ac:dyDescent="0.3">
      <c r="A215" s="15" t="s">
        <v>377</v>
      </c>
      <c r="B215" s="15" t="s">
        <v>4</v>
      </c>
      <c r="C215" s="67">
        <v>45593</v>
      </c>
      <c r="D215" s="15" t="s">
        <v>94</v>
      </c>
      <c r="E215" s="15" t="s">
        <v>95</v>
      </c>
      <c r="F215" s="15">
        <v>4929</v>
      </c>
      <c r="G215" s="15">
        <v>749</v>
      </c>
      <c r="H215" s="15">
        <v>452</v>
      </c>
      <c r="I215" s="15">
        <v>93651</v>
      </c>
      <c r="J215" s="15">
        <v>92810</v>
      </c>
      <c r="K215" s="15">
        <v>66</v>
      </c>
      <c r="L215" s="15" t="s">
        <v>82</v>
      </c>
      <c r="M215" s="15">
        <v>6130</v>
      </c>
      <c r="N215" s="15" t="s">
        <v>118</v>
      </c>
    </row>
    <row r="216" spans="1:14" x14ac:dyDescent="0.3">
      <c r="A216" s="15" t="s">
        <v>378</v>
      </c>
      <c r="B216" s="15" t="s">
        <v>2</v>
      </c>
      <c r="C216" s="67">
        <v>45516</v>
      </c>
      <c r="D216" s="15" t="s">
        <v>102</v>
      </c>
      <c r="E216" s="15" t="s">
        <v>103</v>
      </c>
      <c r="F216" s="15">
        <v>1878</v>
      </c>
      <c r="G216" s="15">
        <v>62</v>
      </c>
      <c r="H216" s="15">
        <v>179</v>
      </c>
      <c r="I216" s="15">
        <v>37560</v>
      </c>
      <c r="J216" s="15">
        <v>36874</v>
      </c>
      <c r="K216" s="15">
        <v>142</v>
      </c>
      <c r="L216" s="15" t="s">
        <v>82</v>
      </c>
      <c r="M216" s="15">
        <v>2119</v>
      </c>
      <c r="N216" s="15" t="s">
        <v>137</v>
      </c>
    </row>
    <row r="217" spans="1:14" x14ac:dyDescent="0.3">
      <c r="A217" s="15" t="s">
        <v>378</v>
      </c>
      <c r="B217" s="15" t="s">
        <v>2</v>
      </c>
      <c r="C217" s="67">
        <v>45516</v>
      </c>
      <c r="D217" s="15" t="s">
        <v>102</v>
      </c>
      <c r="E217" s="15" t="s">
        <v>103</v>
      </c>
      <c r="F217" s="15">
        <v>1878</v>
      </c>
      <c r="G217" s="15">
        <v>62</v>
      </c>
      <c r="H217" s="15">
        <v>179</v>
      </c>
      <c r="I217" s="15">
        <v>37560</v>
      </c>
      <c r="J217" s="15">
        <v>36874</v>
      </c>
      <c r="K217" s="15">
        <v>142</v>
      </c>
      <c r="L217" s="15" t="s">
        <v>82</v>
      </c>
      <c r="M217" s="15">
        <v>2119</v>
      </c>
      <c r="N217" s="15" t="s">
        <v>104</v>
      </c>
    </row>
    <row r="218" spans="1:14" x14ac:dyDescent="0.3">
      <c r="A218" s="15" t="s">
        <v>379</v>
      </c>
      <c r="B218" s="15" t="s">
        <v>4</v>
      </c>
      <c r="C218" s="67">
        <v>45448</v>
      </c>
      <c r="D218" s="15" t="s">
        <v>79</v>
      </c>
      <c r="E218" s="15" t="s">
        <v>80</v>
      </c>
      <c r="F218" s="15">
        <v>3065</v>
      </c>
      <c r="G218" s="15">
        <v>772</v>
      </c>
      <c r="H218" s="15">
        <v>142</v>
      </c>
      <c r="I218" s="15">
        <v>18390</v>
      </c>
      <c r="J218" s="15">
        <v>17875</v>
      </c>
      <c r="K218" s="15">
        <v>200</v>
      </c>
      <c r="L218" s="15" t="s">
        <v>82</v>
      </c>
      <c r="M218" s="15">
        <v>3979</v>
      </c>
      <c r="N218" s="15" t="s">
        <v>118</v>
      </c>
    </row>
    <row r="219" spans="1:14" x14ac:dyDescent="0.3">
      <c r="A219" s="15" t="s">
        <v>381</v>
      </c>
      <c r="B219" s="15" t="s">
        <v>2</v>
      </c>
      <c r="C219" s="67">
        <v>45586</v>
      </c>
      <c r="D219" s="15" t="s">
        <v>79</v>
      </c>
      <c r="E219" s="15" t="s">
        <v>80</v>
      </c>
      <c r="F219" s="15">
        <v>3256</v>
      </c>
      <c r="G219" s="15">
        <v>459</v>
      </c>
      <c r="H219" s="15">
        <v>266</v>
      </c>
      <c r="I219" s="15">
        <v>26048</v>
      </c>
      <c r="J219" s="15">
        <v>25529</v>
      </c>
      <c r="K219" s="15">
        <v>143</v>
      </c>
      <c r="L219" s="15" t="s">
        <v>99</v>
      </c>
      <c r="M219" s="15">
        <v>3981</v>
      </c>
      <c r="N219" s="15" t="s">
        <v>81</v>
      </c>
    </row>
    <row r="220" spans="1:14" x14ac:dyDescent="0.3">
      <c r="A220" s="15" t="s">
        <v>381</v>
      </c>
      <c r="B220" s="15" t="s">
        <v>2</v>
      </c>
      <c r="C220" s="67">
        <v>45586</v>
      </c>
      <c r="D220" s="15" t="s">
        <v>79</v>
      </c>
      <c r="E220" s="15" t="s">
        <v>80</v>
      </c>
      <c r="F220" s="15">
        <v>3256</v>
      </c>
      <c r="G220" s="15">
        <v>459</v>
      </c>
      <c r="H220" s="15">
        <v>266</v>
      </c>
      <c r="I220" s="15">
        <v>26048</v>
      </c>
      <c r="J220" s="15">
        <v>25529</v>
      </c>
      <c r="K220" s="15">
        <v>143</v>
      </c>
      <c r="L220" s="15" t="s">
        <v>99</v>
      </c>
      <c r="M220" s="15">
        <v>3981</v>
      </c>
      <c r="N220" s="15" t="s">
        <v>118</v>
      </c>
    </row>
    <row r="221" spans="1:14" x14ac:dyDescent="0.3">
      <c r="A221" s="15" t="s">
        <v>382</v>
      </c>
      <c r="B221" s="15" t="s">
        <v>2</v>
      </c>
      <c r="C221" s="67">
        <v>45762</v>
      </c>
      <c r="D221" s="15" t="s">
        <v>129</v>
      </c>
      <c r="E221" s="15" t="s">
        <v>130</v>
      </c>
      <c r="F221" s="15">
        <v>4133</v>
      </c>
      <c r="G221" s="15">
        <v>466</v>
      </c>
      <c r="H221" s="15">
        <v>327</v>
      </c>
      <c r="I221" s="15">
        <v>24798</v>
      </c>
      <c r="J221" s="15">
        <v>24620</v>
      </c>
      <c r="K221" s="15">
        <v>176</v>
      </c>
      <c r="L221" s="15" t="s">
        <v>88</v>
      </c>
      <c r="M221" s="15">
        <v>4926</v>
      </c>
      <c r="N221" s="15" t="s">
        <v>118</v>
      </c>
    </row>
    <row r="222" spans="1:14" x14ac:dyDescent="0.3">
      <c r="A222" s="15" t="s">
        <v>383</v>
      </c>
      <c r="B222" s="15" t="s">
        <v>3</v>
      </c>
      <c r="C222" s="67">
        <v>45459</v>
      </c>
      <c r="D222" s="15" t="s">
        <v>129</v>
      </c>
      <c r="E222" s="15" t="s">
        <v>130</v>
      </c>
      <c r="F222" s="15">
        <v>1702</v>
      </c>
      <c r="G222" s="15">
        <v>750</v>
      </c>
      <c r="H222" s="15">
        <v>179</v>
      </c>
      <c r="I222" s="15">
        <v>34040</v>
      </c>
      <c r="J222" s="15">
        <v>33174</v>
      </c>
      <c r="K222" s="15">
        <v>76</v>
      </c>
      <c r="L222" s="15" t="s">
        <v>99</v>
      </c>
      <c r="M222" s="15">
        <v>2631</v>
      </c>
      <c r="N222" s="15" t="s">
        <v>104</v>
      </c>
    </row>
    <row r="223" spans="1:14" x14ac:dyDescent="0.3">
      <c r="A223" s="15" t="s">
        <v>385</v>
      </c>
      <c r="B223" s="15" t="s">
        <v>4</v>
      </c>
      <c r="C223" s="67">
        <v>45526</v>
      </c>
      <c r="D223" s="15" t="s">
        <v>102</v>
      </c>
      <c r="E223" s="15" t="s">
        <v>103</v>
      </c>
      <c r="F223" s="15">
        <v>4295</v>
      </c>
      <c r="G223" s="15">
        <v>853</v>
      </c>
      <c r="H223" s="15">
        <v>325</v>
      </c>
      <c r="I223" s="15">
        <v>85900</v>
      </c>
      <c r="J223" s="15">
        <v>85788</v>
      </c>
      <c r="K223" s="15">
        <v>290</v>
      </c>
      <c r="L223" s="15" t="s">
        <v>88</v>
      </c>
      <c r="M223" s="15">
        <v>5473</v>
      </c>
      <c r="N223" s="15" t="s">
        <v>104</v>
      </c>
    </row>
    <row r="224" spans="1:14" x14ac:dyDescent="0.3">
      <c r="A224" s="15" t="s">
        <v>385</v>
      </c>
      <c r="B224" s="15" t="s">
        <v>4</v>
      </c>
      <c r="C224" s="67">
        <v>45526</v>
      </c>
      <c r="D224" s="15" t="s">
        <v>102</v>
      </c>
      <c r="E224" s="15" t="s">
        <v>103</v>
      </c>
      <c r="F224" s="15">
        <v>4295</v>
      </c>
      <c r="G224" s="15">
        <v>853</v>
      </c>
      <c r="H224" s="15">
        <v>325</v>
      </c>
      <c r="I224" s="15">
        <v>85900</v>
      </c>
      <c r="J224" s="15">
        <v>85788</v>
      </c>
      <c r="K224" s="15">
        <v>290</v>
      </c>
      <c r="L224" s="15" t="s">
        <v>88</v>
      </c>
      <c r="M224" s="15">
        <v>5473</v>
      </c>
      <c r="N224" s="15" t="s">
        <v>81</v>
      </c>
    </row>
    <row r="225" spans="1:14" x14ac:dyDescent="0.3">
      <c r="A225" s="15" t="s">
        <v>387</v>
      </c>
      <c r="B225" s="15" t="s">
        <v>2</v>
      </c>
      <c r="C225" s="67">
        <v>45499</v>
      </c>
      <c r="D225" s="15" t="s">
        <v>109</v>
      </c>
      <c r="E225" s="15" t="s">
        <v>110</v>
      </c>
      <c r="F225" s="15">
        <v>3559</v>
      </c>
      <c r="G225" s="15">
        <v>59</v>
      </c>
      <c r="H225" s="15">
        <v>289</v>
      </c>
      <c r="I225" s="15">
        <v>35590</v>
      </c>
      <c r="J225" s="15">
        <v>35105</v>
      </c>
      <c r="K225" s="15">
        <v>122</v>
      </c>
      <c r="L225" s="15" t="s">
        <v>99</v>
      </c>
      <c r="M225" s="15">
        <v>3907</v>
      </c>
      <c r="N225" s="15" t="s">
        <v>104</v>
      </c>
    </row>
    <row r="226" spans="1:14" x14ac:dyDescent="0.3">
      <c r="A226" s="15" t="s">
        <v>387</v>
      </c>
      <c r="B226" s="15" t="s">
        <v>2</v>
      </c>
      <c r="C226" s="67">
        <v>45499</v>
      </c>
      <c r="D226" s="15" t="s">
        <v>109</v>
      </c>
      <c r="E226" s="15" t="s">
        <v>110</v>
      </c>
      <c r="F226" s="15">
        <v>3559</v>
      </c>
      <c r="G226" s="15">
        <v>59</v>
      </c>
      <c r="H226" s="15">
        <v>289</v>
      </c>
      <c r="I226" s="15">
        <v>35590</v>
      </c>
      <c r="J226" s="15">
        <v>35105</v>
      </c>
      <c r="K226" s="15">
        <v>122</v>
      </c>
      <c r="L226" s="15" t="s">
        <v>99</v>
      </c>
      <c r="M226" s="15">
        <v>3907</v>
      </c>
      <c r="N226" s="15" t="s">
        <v>118</v>
      </c>
    </row>
    <row r="227" spans="1:14" x14ac:dyDescent="0.3">
      <c r="A227" s="15" t="s">
        <v>388</v>
      </c>
      <c r="B227" s="15" t="s">
        <v>1</v>
      </c>
      <c r="C227" s="67">
        <v>45769</v>
      </c>
      <c r="D227" s="15" t="s">
        <v>109</v>
      </c>
      <c r="E227" s="15" t="s">
        <v>110</v>
      </c>
      <c r="F227" s="15">
        <v>4804</v>
      </c>
      <c r="G227" s="15">
        <v>550</v>
      </c>
      <c r="H227" s="15">
        <v>270</v>
      </c>
      <c r="I227" s="15">
        <v>28824</v>
      </c>
      <c r="J227" s="15">
        <v>28370</v>
      </c>
      <c r="K227" s="15">
        <v>47</v>
      </c>
      <c r="L227" s="15" t="s">
        <v>115</v>
      </c>
      <c r="M227" s="15">
        <v>5624</v>
      </c>
      <c r="N227" s="15" t="s">
        <v>81</v>
      </c>
    </row>
    <row r="228" spans="1:14" x14ac:dyDescent="0.3">
      <c r="A228" s="15" t="s">
        <v>388</v>
      </c>
      <c r="B228" s="15" t="s">
        <v>1</v>
      </c>
      <c r="C228" s="67">
        <v>45769</v>
      </c>
      <c r="D228" s="15" t="s">
        <v>109</v>
      </c>
      <c r="E228" s="15" t="s">
        <v>110</v>
      </c>
      <c r="F228" s="15">
        <v>4804</v>
      </c>
      <c r="G228" s="15">
        <v>550</v>
      </c>
      <c r="H228" s="15">
        <v>270</v>
      </c>
      <c r="I228" s="15">
        <v>28824</v>
      </c>
      <c r="J228" s="15">
        <v>28370</v>
      </c>
      <c r="K228" s="15">
        <v>47</v>
      </c>
      <c r="L228" s="15" t="s">
        <v>115</v>
      </c>
      <c r="M228" s="15">
        <v>5624</v>
      </c>
      <c r="N228" s="15" t="s">
        <v>118</v>
      </c>
    </row>
    <row r="229" spans="1:14" x14ac:dyDescent="0.3">
      <c r="A229" s="15" t="s">
        <v>390</v>
      </c>
      <c r="B229" s="15" t="s">
        <v>3</v>
      </c>
      <c r="C229" s="67">
        <v>45658</v>
      </c>
      <c r="D229" s="15" t="s">
        <v>129</v>
      </c>
      <c r="E229" s="15" t="s">
        <v>130</v>
      </c>
      <c r="F229" s="15">
        <v>754</v>
      </c>
      <c r="G229" s="15">
        <v>197</v>
      </c>
      <c r="H229" s="15">
        <v>257</v>
      </c>
      <c r="I229" s="15">
        <v>6786</v>
      </c>
      <c r="J229" s="15">
        <v>6221</v>
      </c>
      <c r="K229" s="15">
        <v>212</v>
      </c>
      <c r="L229" s="15" t="s">
        <v>99</v>
      </c>
      <c r="M229" s="15">
        <v>1208</v>
      </c>
      <c r="N229" s="15" t="s">
        <v>137</v>
      </c>
    </row>
    <row r="230" spans="1:14" x14ac:dyDescent="0.3">
      <c r="A230" s="15" t="s">
        <v>390</v>
      </c>
      <c r="B230" s="15" t="s">
        <v>3</v>
      </c>
      <c r="C230" s="67">
        <v>45658</v>
      </c>
      <c r="D230" s="15" t="s">
        <v>129</v>
      </c>
      <c r="E230" s="15" t="s">
        <v>130</v>
      </c>
      <c r="F230" s="15">
        <v>754</v>
      </c>
      <c r="G230" s="15">
        <v>197</v>
      </c>
      <c r="H230" s="15">
        <v>257</v>
      </c>
      <c r="I230" s="15">
        <v>6786</v>
      </c>
      <c r="J230" s="15">
        <v>6221</v>
      </c>
      <c r="K230" s="15">
        <v>212</v>
      </c>
      <c r="L230" s="15" t="s">
        <v>99</v>
      </c>
      <c r="M230" s="15">
        <v>1208</v>
      </c>
      <c r="N230" s="15" t="s">
        <v>104</v>
      </c>
    </row>
    <row r="231" spans="1:14" x14ac:dyDescent="0.3">
      <c r="A231" s="15" t="s">
        <v>392</v>
      </c>
      <c r="B231" s="15" t="s">
        <v>2</v>
      </c>
      <c r="C231" s="67">
        <v>45574</v>
      </c>
      <c r="D231" s="15" t="s">
        <v>102</v>
      </c>
      <c r="E231" s="15" t="s">
        <v>103</v>
      </c>
      <c r="F231" s="15">
        <v>985</v>
      </c>
      <c r="G231" s="15">
        <v>932</v>
      </c>
      <c r="H231" s="15">
        <v>287</v>
      </c>
      <c r="I231" s="15">
        <v>6895</v>
      </c>
      <c r="J231" s="15">
        <v>6757</v>
      </c>
      <c r="K231" s="15">
        <v>64</v>
      </c>
      <c r="L231" s="15" t="s">
        <v>88</v>
      </c>
      <c r="M231" s="15">
        <v>2204</v>
      </c>
      <c r="N231" s="15" t="s">
        <v>81</v>
      </c>
    </row>
    <row r="232" spans="1:14" x14ac:dyDescent="0.3">
      <c r="A232" s="15" t="s">
        <v>392</v>
      </c>
      <c r="B232" s="15" t="s">
        <v>2</v>
      </c>
      <c r="C232" s="67">
        <v>45574</v>
      </c>
      <c r="D232" s="15" t="s">
        <v>102</v>
      </c>
      <c r="E232" s="15" t="s">
        <v>103</v>
      </c>
      <c r="F232" s="15">
        <v>985</v>
      </c>
      <c r="G232" s="15">
        <v>932</v>
      </c>
      <c r="H232" s="15">
        <v>287</v>
      </c>
      <c r="I232" s="15">
        <v>6895</v>
      </c>
      <c r="J232" s="15">
        <v>6757</v>
      </c>
      <c r="K232" s="15">
        <v>64</v>
      </c>
      <c r="L232" s="15" t="s">
        <v>88</v>
      </c>
      <c r="M232" s="15">
        <v>2204</v>
      </c>
      <c r="N232" s="15" t="s">
        <v>87</v>
      </c>
    </row>
    <row r="233" spans="1:14" x14ac:dyDescent="0.3">
      <c r="A233" s="15" t="s">
        <v>393</v>
      </c>
      <c r="B233" s="15" t="s">
        <v>4</v>
      </c>
      <c r="C233" s="67">
        <v>45647</v>
      </c>
      <c r="D233" s="15" t="s">
        <v>109</v>
      </c>
      <c r="E233" s="15" t="s">
        <v>110</v>
      </c>
      <c r="F233" s="15">
        <v>2283</v>
      </c>
      <c r="G233" s="15">
        <v>210</v>
      </c>
      <c r="H233" s="15">
        <v>130</v>
      </c>
      <c r="I233" s="15">
        <v>22830</v>
      </c>
      <c r="J233" s="15">
        <v>22617</v>
      </c>
      <c r="K233" s="15">
        <v>143</v>
      </c>
      <c r="L233" s="15" t="s">
        <v>99</v>
      </c>
      <c r="M233" s="15">
        <v>2623</v>
      </c>
      <c r="N233" s="15" t="s">
        <v>87</v>
      </c>
    </row>
    <row r="234" spans="1:14" x14ac:dyDescent="0.3">
      <c r="A234" s="15" t="s">
        <v>393</v>
      </c>
      <c r="B234" s="15" t="s">
        <v>4</v>
      </c>
      <c r="C234" s="67">
        <v>45647</v>
      </c>
      <c r="D234" s="15" t="s">
        <v>109</v>
      </c>
      <c r="E234" s="15" t="s">
        <v>110</v>
      </c>
      <c r="F234" s="15">
        <v>2283</v>
      </c>
      <c r="G234" s="15">
        <v>210</v>
      </c>
      <c r="H234" s="15">
        <v>130</v>
      </c>
      <c r="I234" s="15">
        <v>22830</v>
      </c>
      <c r="J234" s="15">
        <v>22617</v>
      </c>
      <c r="K234" s="15">
        <v>143</v>
      </c>
      <c r="L234" s="15" t="s">
        <v>99</v>
      </c>
      <c r="M234" s="15">
        <v>2623</v>
      </c>
      <c r="N234" s="15" t="s">
        <v>118</v>
      </c>
    </row>
    <row r="235" spans="1:14" x14ac:dyDescent="0.3">
      <c r="A235" s="15" t="s">
        <v>395</v>
      </c>
      <c r="B235" s="15" t="s">
        <v>1</v>
      </c>
      <c r="C235" s="67">
        <v>45587</v>
      </c>
      <c r="D235" s="15" t="s">
        <v>102</v>
      </c>
      <c r="E235" s="15" t="s">
        <v>103</v>
      </c>
      <c r="F235" s="15">
        <v>3352</v>
      </c>
      <c r="G235" s="15">
        <v>941</v>
      </c>
      <c r="H235" s="15">
        <v>482</v>
      </c>
      <c r="I235" s="15">
        <v>43576</v>
      </c>
      <c r="J235" s="15">
        <v>43338</v>
      </c>
      <c r="K235" s="15">
        <v>240</v>
      </c>
      <c r="L235" s="15" t="s">
        <v>99</v>
      </c>
      <c r="M235" s="15">
        <v>4775</v>
      </c>
      <c r="N235" s="15" t="s">
        <v>104</v>
      </c>
    </row>
    <row r="236" spans="1:14" x14ac:dyDescent="0.3">
      <c r="A236" s="15" t="s">
        <v>397</v>
      </c>
      <c r="B236" s="15" t="s">
        <v>4</v>
      </c>
      <c r="C236" s="67">
        <v>45496</v>
      </c>
      <c r="D236" s="15" t="s">
        <v>94</v>
      </c>
      <c r="E236" s="15" t="s">
        <v>95</v>
      </c>
      <c r="F236" s="15">
        <v>4775</v>
      </c>
      <c r="G236" s="15">
        <v>173</v>
      </c>
      <c r="H236" s="15">
        <v>206</v>
      </c>
      <c r="I236" s="15">
        <v>47750</v>
      </c>
      <c r="J236" s="15">
        <v>47544</v>
      </c>
      <c r="K236" s="15">
        <v>187</v>
      </c>
      <c r="L236" s="15" t="s">
        <v>115</v>
      </c>
      <c r="M236" s="15">
        <v>5154</v>
      </c>
      <c r="N236" s="15" t="s">
        <v>118</v>
      </c>
    </row>
    <row r="237" spans="1:14" x14ac:dyDescent="0.3">
      <c r="A237" s="15" t="s">
        <v>397</v>
      </c>
      <c r="B237" s="15" t="s">
        <v>4</v>
      </c>
      <c r="C237" s="67">
        <v>45496</v>
      </c>
      <c r="D237" s="15" t="s">
        <v>94</v>
      </c>
      <c r="E237" s="15" t="s">
        <v>95</v>
      </c>
      <c r="F237" s="15">
        <v>4775</v>
      </c>
      <c r="G237" s="15">
        <v>173</v>
      </c>
      <c r="H237" s="15">
        <v>206</v>
      </c>
      <c r="I237" s="15">
        <v>47750</v>
      </c>
      <c r="J237" s="15">
        <v>47544</v>
      </c>
      <c r="K237" s="15">
        <v>187</v>
      </c>
      <c r="L237" s="15" t="s">
        <v>115</v>
      </c>
      <c r="M237" s="15">
        <v>5154</v>
      </c>
      <c r="N237" s="15" t="s">
        <v>104</v>
      </c>
    </row>
    <row r="238" spans="1:14" x14ac:dyDescent="0.3">
      <c r="A238" s="15" t="s">
        <v>399</v>
      </c>
      <c r="B238" s="15" t="s">
        <v>2</v>
      </c>
      <c r="C238" s="67">
        <v>45515</v>
      </c>
      <c r="D238" s="15" t="s">
        <v>94</v>
      </c>
      <c r="E238" s="15" t="s">
        <v>95</v>
      </c>
      <c r="F238" s="15">
        <v>1762</v>
      </c>
      <c r="G238" s="15">
        <v>405</v>
      </c>
      <c r="H238" s="15">
        <v>423</v>
      </c>
      <c r="I238" s="15">
        <v>22906</v>
      </c>
      <c r="J238" s="15">
        <v>21925</v>
      </c>
      <c r="K238" s="15">
        <v>25</v>
      </c>
      <c r="L238" s="15" t="s">
        <v>88</v>
      </c>
      <c r="M238" s="15">
        <v>2590</v>
      </c>
      <c r="N238" s="15" t="s">
        <v>137</v>
      </c>
    </row>
    <row r="239" spans="1:14" x14ac:dyDescent="0.3">
      <c r="A239" s="15" t="s">
        <v>401</v>
      </c>
      <c r="B239" s="15" t="s">
        <v>1</v>
      </c>
      <c r="C239" s="67">
        <v>45621</v>
      </c>
      <c r="D239" s="15" t="s">
        <v>94</v>
      </c>
      <c r="E239" s="15" t="s">
        <v>95</v>
      </c>
      <c r="F239" s="15">
        <v>2120</v>
      </c>
      <c r="G239" s="15">
        <v>158</v>
      </c>
      <c r="H239" s="15">
        <v>488</v>
      </c>
      <c r="I239" s="15">
        <v>12720</v>
      </c>
      <c r="J239" s="15">
        <v>12085</v>
      </c>
      <c r="K239" s="15">
        <v>17</v>
      </c>
      <c r="L239" s="15" t="s">
        <v>88</v>
      </c>
      <c r="M239" s="15">
        <v>2766</v>
      </c>
      <c r="N239" s="15" t="s">
        <v>118</v>
      </c>
    </row>
    <row r="240" spans="1:14" x14ac:dyDescent="0.3">
      <c r="A240" s="15" t="s">
        <v>401</v>
      </c>
      <c r="B240" s="15" t="s">
        <v>1</v>
      </c>
      <c r="C240" s="67">
        <v>45621</v>
      </c>
      <c r="D240" s="15" t="s">
        <v>94</v>
      </c>
      <c r="E240" s="15" t="s">
        <v>95</v>
      </c>
      <c r="F240" s="15">
        <v>2120</v>
      </c>
      <c r="G240" s="15">
        <v>158</v>
      </c>
      <c r="H240" s="15">
        <v>488</v>
      </c>
      <c r="I240" s="15">
        <v>12720</v>
      </c>
      <c r="J240" s="15">
        <v>12085</v>
      </c>
      <c r="K240" s="15">
        <v>17</v>
      </c>
      <c r="L240" s="15" t="s">
        <v>88</v>
      </c>
      <c r="M240" s="15">
        <v>2766</v>
      </c>
      <c r="N240" s="15" t="s">
        <v>104</v>
      </c>
    </row>
    <row r="241" spans="1:14" x14ac:dyDescent="0.3">
      <c r="A241" s="15" t="s">
        <v>402</v>
      </c>
      <c r="B241" s="15" t="s">
        <v>3</v>
      </c>
      <c r="C241" s="67">
        <v>45528</v>
      </c>
      <c r="D241" s="15" t="s">
        <v>129</v>
      </c>
      <c r="E241" s="15" t="s">
        <v>130</v>
      </c>
      <c r="F241" s="15">
        <v>1082</v>
      </c>
      <c r="G241" s="15">
        <v>209</v>
      </c>
      <c r="H241" s="15">
        <v>484</v>
      </c>
      <c r="I241" s="15">
        <v>19476</v>
      </c>
      <c r="J241" s="15">
        <v>18654</v>
      </c>
      <c r="K241" s="15">
        <v>20</v>
      </c>
      <c r="L241" s="15" t="s">
        <v>115</v>
      </c>
      <c r="M241" s="15">
        <v>1775</v>
      </c>
      <c r="N241" s="15" t="s">
        <v>118</v>
      </c>
    </row>
    <row r="242" spans="1:14" x14ac:dyDescent="0.3">
      <c r="A242" s="15" t="s">
        <v>404</v>
      </c>
      <c r="B242" s="15" t="s">
        <v>3</v>
      </c>
      <c r="C242" s="67">
        <v>45707</v>
      </c>
      <c r="D242" s="15" t="s">
        <v>85</v>
      </c>
      <c r="E242" s="15" t="s">
        <v>86</v>
      </c>
      <c r="F242" s="15">
        <v>4671</v>
      </c>
      <c r="G242" s="15">
        <v>876</v>
      </c>
      <c r="H242" s="15">
        <v>366</v>
      </c>
      <c r="I242" s="15">
        <v>51381</v>
      </c>
      <c r="J242" s="15">
        <v>50565</v>
      </c>
      <c r="K242" s="15">
        <v>245</v>
      </c>
      <c r="L242" s="15" t="s">
        <v>88</v>
      </c>
      <c r="M242" s="15">
        <v>5913</v>
      </c>
      <c r="N242" s="15" t="s">
        <v>81</v>
      </c>
    </row>
    <row r="243" spans="1:14" x14ac:dyDescent="0.3">
      <c r="A243" s="15" t="s">
        <v>406</v>
      </c>
      <c r="B243" s="15" t="s">
        <v>1</v>
      </c>
      <c r="C243" s="67">
        <v>45748</v>
      </c>
      <c r="D243" s="15" t="s">
        <v>94</v>
      </c>
      <c r="E243" s="15" t="s">
        <v>95</v>
      </c>
      <c r="F243" s="15">
        <v>3430</v>
      </c>
      <c r="G243" s="15">
        <v>566</v>
      </c>
      <c r="H243" s="15">
        <v>164</v>
      </c>
      <c r="I243" s="15">
        <v>48020</v>
      </c>
      <c r="J243" s="15">
        <v>47305</v>
      </c>
      <c r="K243" s="15">
        <v>120</v>
      </c>
      <c r="L243" s="15" t="s">
        <v>88</v>
      </c>
      <c r="M243" s="15">
        <v>4160</v>
      </c>
      <c r="N243" s="15" t="s">
        <v>104</v>
      </c>
    </row>
    <row r="244" spans="1:14" x14ac:dyDescent="0.3">
      <c r="A244" s="15" t="s">
        <v>408</v>
      </c>
      <c r="B244" s="15" t="s">
        <v>2</v>
      </c>
      <c r="C244" s="67">
        <v>45755</v>
      </c>
      <c r="D244" s="15" t="s">
        <v>109</v>
      </c>
      <c r="E244" s="15" t="s">
        <v>110</v>
      </c>
      <c r="F244" s="15">
        <v>4501</v>
      </c>
      <c r="G244" s="15">
        <v>375</v>
      </c>
      <c r="H244" s="15">
        <v>323</v>
      </c>
      <c r="I244" s="15">
        <v>22505</v>
      </c>
      <c r="J244" s="15">
        <v>21836</v>
      </c>
      <c r="K244" s="15">
        <v>132</v>
      </c>
      <c r="L244" s="15" t="s">
        <v>115</v>
      </c>
      <c r="M244" s="15">
        <v>5199</v>
      </c>
      <c r="N244" s="15" t="s">
        <v>87</v>
      </c>
    </row>
    <row r="245" spans="1:14" x14ac:dyDescent="0.3">
      <c r="A245" s="15" t="s">
        <v>410</v>
      </c>
      <c r="B245" s="15" t="s">
        <v>4</v>
      </c>
      <c r="C245" s="67">
        <v>45715</v>
      </c>
      <c r="D245" s="15" t="s">
        <v>85</v>
      </c>
      <c r="E245" s="15" t="s">
        <v>86</v>
      </c>
      <c r="F245" s="15">
        <v>4934</v>
      </c>
      <c r="G245" s="15">
        <v>971</v>
      </c>
      <c r="H245" s="15">
        <v>156</v>
      </c>
      <c r="I245" s="15">
        <v>39472</v>
      </c>
      <c r="J245" s="15">
        <v>39025</v>
      </c>
      <c r="K245" s="15">
        <v>169</v>
      </c>
      <c r="L245" s="15" t="s">
        <v>88</v>
      </c>
      <c r="M245" s="15">
        <v>6061</v>
      </c>
      <c r="N245" s="15" t="s">
        <v>137</v>
      </c>
    </row>
    <row r="246" spans="1:14" x14ac:dyDescent="0.3">
      <c r="A246" s="15" t="s">
        <v>410</v>
      </c>
      <c r="B246" s="15" t="s">
        <v>4</v>
      </c>
      <c r="C246" s="67">
        <v>45715</v>
      </c>
      <c r="D246" s="15" t="s">
        <v>85</v>
      </c>
      <c r="E246" s="15" t="s">
        <v>86</v>
      </c>
      <c r="F246" s="15">
        <v>4934</v>
      </c>
      <c r="G246" s="15">
        <v>971</v>
      </c>
      <c r="H246" s="15">
        <v>156</v>
      </c>
      <c r="I246" s="15">
        <v>39472</v>
      </c>
      <c r="J246" s="15">
        <v>39025</v>
      </c>
      <c r="K246" s="15">
        <v>169</v>
      </c>
      <c r="L246" s="15" t="s">
        <v>88</v>
      </c>
      <c r="M246" s="15">
        <v>6061</v>
      </c>
      <c r="N246" s="15" t="s">
        <v>118</v>
      </c>
    </row>
    <row r="247" spans="1:14" x14ac:dyDescent="0.3">
      <c r="A247" s="15" t="s">
        <v>411</v>
      </c>
      <c r="B247" s="15" t="s">
        <v>3</v>
      </c>
      <c r="C247" s="67">
        <v>45637</v>
      </c>
      <c r="D247" s="15" t="s">
        <v>85</v>
      </c>
      <c r="E247" s="15" t="s">
        <v>86</v>
      </c>
      <c r="F247" s="15">
        <v>3239</v>
      </c>
      <c r="G247" s="15">
        <v>43</v>
      </c>
      <c r="H247" s="15">
        <v>211</v>
      </c>
      <c r="I247" s="15">
        <v>22673</v>
      </c>
      <c r="J247" s="15">
        <v>22171</v>
      </c>
      <c r="K247" s="15">
        <v>230</v>
      </c>
      <c r="L247" s="15" t="s">
        <v>88</v>
      </c>
      <c r="M247" s="15">
        <v>3493</v>
      </c>
      <c r="N247" s="15" t="s">
        <v>104</v>
      </c>
    </row>
    <row r="248" spans="1:14" x14ac:dyDescent="0.3">
      <c r="A248" s="15" t="s">
        <v>411</v>
      </c>
      <c r="B248" s="15" t="s">
        <v>3</v>
      </c>
      <c r="C248" s="67">
        <v>45637</v>
      </c>
      <c r="D248" s="15" t="s">
        <v>85</v>
      </c>
      <c r="E248" s="15" t="s">
        <v>86</v>
      </c>
      <c r="F248" s="15">
        <v>3239</v>
      </c>
      <c r="G248" s="15">
        <v>43</v>
      </c>
      <c r="H248" s="15">
        <v>211</v>
      </c>
      <c r="I248" s="15">
        <v>22673</v>
      </c>
      <c r="J248" s="15">
        <v>22171</v>
      </c>
      <c r="K248" s="15">
        <v>230</v>
      </c>
      <c r="L248" s="15" t="s">
        <v>88</v>
      </c>
      <c r="M248" s="15">
        <v>3493</v>
      </c>
      <c r="N248" s="15" t="s">
        <v>118</v>
      </c>
    </row>
    <row r="249" spans="1:14" x14ac:dyDescent="0.3">
      <c r="A249" s="15" t="s">
        <v>412</v>
      </c>
      <c r="B249" s="15" t="s">
        <v>3</v>
      </c>
      <c r="C249" s="67">
        <v>45704</v>
      </c>
      <c r="D249" s="15" t="s">
        <v>79</v>
      </c>
      <c r="E249" s="15" t="s">
        <v>80</v>
      </c>
      <c r="F249" s="15">
        <v>1076</v>
      </c>
      <c r="G249" s="15">
        <v>313</v>
      </c>
      <c r="H249" s="15">
        <v>306</v>
      </c>
      <c r="I249" s="15">
        <v>11836</v>
      </c>
      <c r="J249" s="15">
        <v>11596</v>
      </c>
      <c r="K249" s="15">
        <v>104</v>
      </c>
      <c r="L249" s="15" t="s">
        <v>88</v>
      </c>
      <c r="M249" s="15">
        <v>1695</v>
      </c>
      <c r="N249" s="15" t="s">
        <v>137</v>
      </c>
    </row>
    <row r="250" spans="1:14" x14ac:dyDescent="0.3">
      <c r="A250" s="15" t="s">
        <v>413</v>
      </c>
      <c r="B250" s="15" t="s">
        <v>2</v>
      </c>
      <c r="C250" s="67">
        <v>45624</v>
      </c>
      <c r="D250" s="15" t="s">
        <v>85</v>
      </c>
      <c r="E250" s="15" t="s">
        <v>86</v>
      </c>
      <c r="F250" s="15">
        <v>4771</v>
      </c>
      <c r="G250" s="15">
        <v>818</v>
      </c>
      <c r="H250" s="15">
        <v>56</v>
      </c>
      <c r="I250" s="15">
        <v>57252</v>
      </c>
      <c r="J250" s="15">
        <v>56378</v>
      </c>
      <c r="K250" s="15">
        <v>150</v>
      </c>
      <c r="L250" s="15" t="s">
        <v>88</v>
      </c>
      <c r="M250" s="15">
        <v>5645</v>
      </c>
      <c r="N250" s="15" t="s">
        <v>81</v>
      </c>
    </row>
    <row r="251" spans="1:14" x14ac:dyDescent="0.3">
      <c r="A251" s="15" t="s">
        <v>414</v>
      </c>
      <c r="B251" s="15" t="s">
        <v>1</v>
      </c>
      <c r="C251" s="67">
        <v>45608</v>
      </c>
      <c r="D251" s="15" t="s">
        <v>85</v>
      </c>
      <c r="E251" s="15" t="s">
        <v>86</v>
      </c>
      <c r="F251" s="15">
        <v>2418</v>
      </c>
      <c r="G251" s="15">
        <v>754</v>
      </c>
      <c r="H251" s="15">
        <v>54</v>
      </c>
      <c r="I251" s="15">
        <v>43524</v>
      </c>
      <c r="J251" s="15">
        <v>42743</v>
      </c>
      <c r="K251" s="15">
        <v>182</v>
      </c>
      <c r="L251" s="15" t="s">
        <v>115</v>
      </c>
      <c r="M251" s="15">
        <v>3226</v>
      </c>
      <c r="N251" s="15" t="s">
        <v>87</v>
      </c>
    </row>
    <row r="252" spans="1:14" x14ac:dyDescent="0.3">
      <c r="A252" s="15" t="s">
        <v>414</v>
      </c>
      <c r="B252" s="15" t="s">
        <v>1</v>
      </c>
      <c r="C252" s="67">
        <v>45608</v>
      </c>
      <c r="D252" s="15" t="s">
        <v>85</v>
      </c>
      <c r="E252" s="15" t="s">
        <v>86</v>
      </c>
      <c r="F252" s="15">
        <v>2418</v>
      </c>
      <c r="G252" s="15">
        <v>754</v>
      </c>
      <c r="H252" s="15">
        <v>54</v>
      </c>
      <c r="I252" s="15">
        <v>43524</v>
      </c>
      <c r="J252" s="15">
        <v>42743</v>
      </c>
      <c r="K252" s="15">
        <v>182</v>
      </c>
      <c r="L252" s="15" t="s">
        <v>115</v>
      </c>
      <c r="M252" s="15">
        <v>3226</v>
      </c>
      <c r="N252" s="15" t="s">
        <v>104</v>
      </c>
    </row>
    <row r="253" spans="1:14" x14ac:dyDescent="0.3">
      <c r="A253" s="15" t="s">
        <v>416</v>
      </c>
      <c r="B253" s="15" t="s">
        <v>4</v>
      </c>
      <c r="C253" s="67">
        <v>45629</v>
      </c>
      <c r="D253" s="15" t="s">
        <v>129</v>
      </c>
      <c r="E253" s="15" t="s">
        <v>130</v>
      </c>
      <c r="F253" s="15">
        <v>3809</v>
      </c>
      <c r="G253" s="15">
        <v>273</v>
      </c>
      <c r="H253" s="15">
        <v>200</v>
      </c>
      <c r="I253" s="15">
        <v>34281</v>
      </c>
      <c r="J253" s="15">
        <v>33534</v>
      </c>
      <c r="K253" s="15">
        <v>83</v>
      </c>
      <c r="L253" s="15" t="s">
        <v>99</v>
      </c>
      <c r="M253" s="15">
        <v>4282</v>
      </c>
      <c r="N253" s="15" t="s">
        <v>104</v>
      </c>
    </row>
    <row r="254" spans="1:14" x14ac:dyDescent="0.3">
      <c r="A254" s="15" t="s">
        <v>418</v>
      </c>
      <c r="B254" s="15" t="s">
        <v>3</v>
      </c>
      <c r="C254" s="67">
        <v>45775</v>
      </c>
      <c r="D254" s="15" t="s">
        <v>85</v>
      </c>
      <c r="E254" s="15" t="s">
        <v>86</v>
      </c>
      <c r="F254" s="15">
        <v>3577</v>
      </c>
      <c r="G254" s="15">
        <v>596</v>
      </c>
      <c r="H254" s="15">
        <v>493</v>
      </c>
      <c r="I254" s="15">
        <v>67963</v>
      </c>
      <c r="J254" s="15">
        <v>67839</v>
      </c>
      <c r="K254" s="15">
        <v>53</v>
      </c>
      <c r="L254" s="15" t="s">
        <v>115</v>
      </c>
      <c r="M254" s="15">
        <v>4666</v>
      </c>
      <c r="N254" s="15" t="s">
        <v>118</v>
      </c>
    </row>
    <row r="255" spans="1:14" x14ac:dyDescent="0.3">
      <c r="A255" s="15" t="s">
        <v>418</v>
      </c>
      <c r="B255" s="15" t="s">
        <v>3</v>
      </c>
      <c r="C255" s="67">
        <v>45775</v>
      </c>
      <c r="D255" s="15" t="s">
        <v>85</v>
      </c>
      <c r="E255" s="15" t="s">
        <v>86</v>
      </c>
      <c r="F255" s="15">
        <v>3577</v>
      </c>
      <c r="G255" s="15">
        <v>596</v>
      </c>
      <c r="H255" s="15">
        <v>493</v>
      </c>
      <c r="I255" s="15">
        <v>67963</v>
      </c>
      <c r="J255" s="15">
        <v>67839</v>
      </c>
      <c r="K255" s="15">
        <v>53</v>
      </c>
      <c r="L255" s="15" t="s">
        <v>115</v>
      </c>
      <c r="M255" s="15">
        <v>4666</v>
      </c>
      <c r="N255" s="15" t="s">
        <v>104</v>
      </c>
    </row>
    <row r="256" spans="1:14" x14ac:dyDescent="0.3">
      <c r="A256" s="15" t="s">
        <v>420</v>
      </c>
      <c r="B256" s="15" t="s">
        <v>4</v>
      </c>
      <c r="C256" s="67">
        <v>45657</v>
      </c>
      <c r="D256" s="15" t="s">
        <v>129</v>
      </c>
      <c r="E256" s="15" t="s">
        <v>130</v>
      </c>
      <c r="F256" s="15">
        <v>1018</v>
      </c>
      <c r="G256" s="15">
        <v>447</v>
      </c>
      <c r="H256" s="15">
        <v>332</v>
      </c>
      <c r="I256" s="15">
        <v>18324</v>
      </c>
      <c r="J256" s="15">
        <v>18164</v>
      </c>
      <c r="K256" s="15">
        <v>38</v>
      </c>
      <c r="L256" s="15" t="s">
        <v>115</v>
      </c>
      <c r="M256" s="15">
        <v>1797</v>
      </c>
      <c r="N256" s="15" t="s">
        <v>81</v>
      </c>
    </row>
    <row r="257" spans="1:14" x14ac:dyDescent="0.3">
      <c r="A257" s="15" t="s">
        <v>420</v>
      </c>
      <c r="B257" s="15" t="s">
        <v>4</v>
      </c>
      <c r="C257" s="67">
        <v>45657</v>
      </c>
      <c r="D257" s="15" t="s">
        <v>129</v>
      </c>
      <c r="E257" s="15" t="s">
        <v>130</v>
      </c>
      <c r="F257" s="15">
        <v>1018</v>
      </c>
      <c r="G257" s="15">
        <v>447</v>
      </c>
      <c r="H257" s="15">
        <v>332</v>
      </c>
      <c r="I257" s="15">
        <v>18324</v>
      </c>
      <c r="J257" s="15">
        <v>18164</v>
      </c>
      <c r="K257" s="15">
        <v>38</v>
      </c>
      <c r="L257" s="15" t="s">
        <v>115</v>
      </c>
      <c r="M257" s="15">
        <v>1797</v>
      </c>
      <c r="N257" s="15" t="s">
        <v>87</v>
      </c>
    </row>
    <row r="258" spans="1:14" x14ac:dyDescent="0.3">
      <c r="A258" s="15" t="s">
        <v>422</v>
      </c>
      <c r="B258" s="15" t="s">
        <v>1</v>
      </c>
      <c r="C258" s="67">
        <v>45518</v>
      </c>
      <c r="D258" s="15" t="s">
        <v>102</v>
      </c>
      <c r="E258" s="15" t="s">
        <v>103</v>
      </c>
      <c r="F258" s="15">
        <v>3073</v>
      </c>
      <c r="G258" s="15">
        <v>553</v>
      </c>
      <c r="H258" s="15">
        <v>174</v>
      </c>
      <c r="I258" s="15">
        <v>52241</v>
      </c>
      <c r="J258" s="15">
        <v>51605</v>
      </c>
      <c r="K258" s="15">
        <v>246</v>
      </c>
      <c r="L258" s="15" t="s">
        <v>115</v>
      </c>
      <c r="M258" s="15">
        <v>3800</v>
      </c>
      <c r="N258" s="15" t="s">
        <v>87</v>
      </c>
    </row>
    <row r="259" spans="1:14" x14ac:dyDescent="0.3">
      <c r="A259" s="15" t="s">
        <v>422</v>
      </c>
      <c r="B259" s="15" t="s">
        <v>1</v>
      </c>
      <c r="C259" s="67">
        <v>45518</v>
      </c>
      <c r="D259" s="15" t="s">
        <v>102</v>
      </c>
      <c r="E259" s="15" t="s">
        <v>103</v>
      </c>
      <c r="F259" s="15">
        <v>3073</v>
      </c>
      <c r="G259" s="15">
        <v>553</v>
      </c>
      <c r="H259" s="15">
        <v>174</v>
      </c>
      <c r="I259" s="15">
        <v>52241</v>
      </c>
      <c r="J259" s="15">
        <v>51605</v>
      </c>
      <c r="K259" s="15">
        <v>246</v>
      </c>
      <c r="L259" s="15" t="s">
        <v>115</v>
      </c>
      <c r="M259" s="15">
        <v>3800</v>
      </c>
      <c r="N259" s="15" t="s">
        <v>118</v>
      </c>
    </row>
    <row r="260" spans="1:14" x14ac:dyDescent="0.3">
      <c r="A260" s="15" t="s">
        <v>424</v>
      </c>
      <c r="B260" s="15" t="s">
        <v>3</v>
      </c>
      <c r="C260" s="67">
        <v>45631</v>
      </c>
      <c r="D260" s="15" t="s">
        <v>129</v>
      </c>
      <c r="E260" s="15" t="s">
        <v>130</v>
      </c>
      <c r="F260" s="15">
        <v>1330</v>
      </c>
      <c r="G260" s="15">
        <v>925</v>
      </c>
      <c r="H260" s="15">
        <v>35</v>
      </c>
      <c r="I260" s="15">
        <v>15960</v>
      </c>
      <c r="J260" s="15">
        <v>15379</v>
      </c>
      <c r="K260" s="15">
        <v>229</v>
      </c>
      <c r="L260" s="15" t="s">
        <v>115</v>
      </c>
      <c r="M260" s="15">
        <v>2290</v>
      </c>
      <c r="N260" s="15" t="s">
        <v>137</v>
      </c>
    </row>
    <row r="261" spans="1:14" x14ac:dyDescent="0.3">
      <c r="A261" s="15" t="s">
        <v>424</v>
      </c>
      <c r="B261" s="15" t="s">
        <v>3</v>
      </c>
      <c r="C261" s="67">
        <v>45631</v>
      </c>
      <c r="D261" s="15" t="s">
        <v>129</v>
      </c>
      <c r="E261" s="15" t="s">
        <v>130</v>
      </c>
      <c r="F261" s="15">
        <v>1330</v>
      </c>
      <c r="G261" s="15">
        <v>925</v>
      </c>
      <c r="H261" s="15">
        <v>35</v>
      </c>
      <c r="I261" s="15">
        <v>15960</v>
      </c>
      <c r="J261" s="15">
        <v>15379</v>
      </c>
      <c r="K261" s="15">
        <v>229</v>
      </c>
      <c r="L261" s="15" t="s">
        <v>115</v>
      </c>
      <c r="M261" s="15">
        <v>2290</v>
      </c>
      <c r="N261" s="15" t="s">
        <v>104</v>
      </c>
    </row>
    <row r="262" spans="1:14" x14ac:dyDescent="0.3">
      <c r="A262" s="15" t="s">
        <v>426</v>
      </c>
      <c r="B262" s="15" t="s">
        <v>1</v>
      </c>
      <c r="C262" s="67">
        <v>45465</v>
      </c>
      <c r="D262" s="15" t="s">
        <v>85</v>
      </c>
      <c r="E262" s="15" t="s">
        <v>86</v>
      </c>
      <c r="F262" s="15">
        <v>3828</v>
      </c>
      <c r="G262" s="15">
        <v>148</v>
      </c>
      <c r="H262" s="15">
        <v>253</v>
      </c>
      <c r="I262" s="15">
        <v>30624</v>
      </c>
      <c r="J262" s="15">
        <v>30229</v>
      </c>
      <c r="K262" s="15">
        <v>235</v>
      </c>
      <c r="L262" s="15" t="s">
        <v>115</v>
      </c>
      <c r="M262" s="15">
        <v>4229</v>
      </c>
      <c r="N262" s="15" t="s">
        <v>81</v>
      </c>
    </row>
    <row r="263" spans="1:14" x14ac:dyDescent="0.3">
      <c r="A263" s="15" t="s">
        <v>426</v>
      </c>
      <c r="B263" s="15" t="s">
        <v>1</v>
      </c>
      <c r="C263" s="67">
        <v>45465</v>
      </c>
      <c r="D263" s="15" t="s">
        <v>85</v>
      </c>
      <c r="E263" s="15" t="s">
        <v>86</v>
      </c>
      <c r="F263" s="15">
        <v>3828</v>
      </c>
      <c r="G263" s="15">
        <v>148</v>
      </c>
      <c r="H263" s="15">
        <v>253</v>
      </c>
      <c r="I263" s="15">
        <v>30624</v>
      </c>
      <c r="J263" s="15">
        <v>30229</v>
      </c>
      <c r="K263" s="15">
        <v>235</v>
      </c>
      <c r="L263" s="15" t="s">
        <v>115</v>
      </c>
      <c r="M263" s="15">
        <v>4229</v>
      </c>
      <c r="N263" s="15" t="s">
        <v>118</v>
      </c>
    </row>
    <row r="264" spans="1:14" x14ac:dyDescent="0.3">
      <c r="A264" s="15" t="s">
        <v>427</v>
      </c>
      <c r="B264" s="15" t="s">
        <v>2</v>
      </c>
      <c r="C264" s="67">
        <v>45674</v>
      </c>
      <c r="D264" s="15" t="s">
        <v>79</v>
      </c>
      <c r="E264" s="15" t="s">
        <v>80</v>
      </c>
      <c r="F264" s="15">
        <v>142</v>
      </c>
      <c r="G264" s="15">
        <v>784</v>
      </c>
      <c r="H264" s="15">
        <v>183</v>
      </c>
      <c r="I264" s="15">
        <v>1704</v>
      </c>
      <c r="J264" s="15">
        <v>995</v>
      </c>
      <c r="K264" s="15">
        <v>154</v>
      </c>
      <c r="L264" s="15" t="s">
        <v>82</v>
      </c>
      <c r="M264" s="15">
        <v>1109</v>
      </c>
      <c r="N264" s="15" t="s">
        <v>81</v>
      </c>
    </row>
    <row r="265" spans="1:14" x14ac:dyDescent="0.3">
      <c r="A265" s="15" t="s">
        <v>429</v>
      </c>
      <c r="B265" s="15" t="s">
        <v>1</v>
      </c>
      <c r="C265" s="67">
        <v>45463</v>
      </c>
      <c r="D265" s="15" t="s">
        <v>129</v>
      </c>
      <c r="E265" s="15" t="s">
        <v>130</v>
      </c>
      <c r="F265" s="15">
        <v>3798</v>
      </c>
      <c r="G265" s="15">
        <v>31</v>
      </c>
      <c r="H265" s="15">
        <v>279</v>
      </c>
      <c r="I265" s="15">
        <v>75960</v>
      </c>
      <c r="J265" s="15">
        <v>75813</v>
      </c>
      <c r="K265" s="15">
        <v>266</v>
      </c>
      <c r="L265" s="15" t="s">
        <v>88</v>
      </c>
      <c r="M265" s="15">
        <v>4108</v>
      </c>
      <c r="N265" s="15" t="s">
        <v>87</v>
      </c>
    </row>
    <row r="266" spans="1:14" x14ac:dyDescent="0.3">
      <c r="A266" s="15" t="s">
        <v>431</v>
      </c>
      <c r="B266" s="15" t="s">
        <v>2</v>
      </c>
      <c r="C266" s="67">
        <v>45483</v>
      </c>
      <c r="D266" s="15" t="s">
        <v>102</v>
      </c>
      <c r="E266" s="15" t="s">
        <v>103</v>
      </c>
      <c r="F266" s="15">
        <v>3099</v>
      </c>
      <c r="G266" s="15">
        <v>694</v>
      </c>
      <c r="H266" s="15">
        <v>171</v>
      </c>
      <c r="I266" s="15">
        <v>43386</v>
      </c>
      <c r="J266" s="15">
        <v>42921</v>
      </c>
      <c r="K266" s="15">
        <v>52</v>
      </c>
      <c r="L266" s="15" t="s">
        <v>115</v>
      </c>
      <c r="M266" s="15">
        <v>3964</v>
      </c>
      <c r="N266" s="15" t="s">
        <v>137</v>
      </c>
    </row>
    <row r="267" spans="1:14" x14ac:dyDescent="0.3">
      <c r="A267" s="15" t="s">
        <v>433</v>
      </c>
      <c r="B267" s="15" t="s">
        <v>2</v>
      </c>
      <c r="C267" s="67">
        <v>45603</v>
      </c>
      <c r="D267" s="15" t="s">
        <v>129</v>
      </c>
      <c r="E267" s="15" t="s">
        <v>130</v>
      </c>
      <c r="F267" s="15">
        <v>129</v>
      </c>
      <c r="G267" s="15">
        <v>643</v>
      </c>
      <c r="H267" s="15">
        <v>136</v>
      </c>
      <c r="I267" s="15">
        <v>1290</v>
      </c>
      <c r="J267" s="15">
        <v>839</v>
      </c>
      <c r="K267" s="15">
        <v>238</v>
      </c>
      <c r="L267" s="15" t="s">
        <v>115</v>
      </c>
      <c r="M267" s="15">
        <v>908</v>
      </c>
      <c r="N267" s="15" t="s">
        <v>118</v>
      </c>
    </row>
    <row r="268" spans="1:14" x14ac:dyDescent="0.3">
      <c r="A268" s="15" t="s">
        <v>433</v>
      </c>
      <c r="B268" s="15" t="s">
        <v>2</v>
      </c>
      <c r="C268" s="67">
        <v>45603</v>
      </c>
      <c r="D268" s="15" t="s">
        <v>129</v>
      </c>
      <c r="E268" s="15" t="s">
        <v>130</v>
      </c>
      <c r="F268" s="15">
        <v>129</v>
      </c>
      <c r="G268" s="15">
        <v>643</v>
      </c>
      <c r="H268" s="15">
        <v>136</v>
      </c>
      <c r="I268" s="15">
        <v>1290</v>
      </c>
      <c r="J268" s="15">
        <v>839</v>
      </c>
      <c r="K268" s="15">
        <v>238</v>
      </c>
      <c r="L268" s="15" t="s">
        <v>115</v>
      </c>
      <c r="M268" s="15">
        <v>908</v>
      </c>
      <c r="N268" s="15" t="s">
        <v>137</v>
      </c>
    </row>
    <row r="269" spans="1:14" x14ac:dyDescent="0.3">
      <c r="A269" s="15" t="s">
        <v>434</v>
      </c>
      <c r="B269" s="15" t="s">
        <v>1</v>
      </c>
      <c r="C269" s="67">
        <v>45488</v>
      </c>
      <c r="D269" s="15" t="s">
        <v>102</v>
      </c>
      <c r="E269" s="15" t="s">
        <v>103</v>
      </c>
      <c r="F269" s="15">
        <v>3796</v>
      </c>
      <c r="G269" s="15">
        <v>667</v>
      </c>
      <c r="H269" s="15">
        <v>395</v>
      </c>
      <c r="I269" s="15">
        <v>64532</v>
      </c>
      <c r="J269" s="15">
        <v>63550</v>
      </c>
      <c r="K269" s="15">
        <v>292</v>
      </c>
      <c r="L269" s="15" t="s">
        <v>82</v>
      </c>
      <c r="M269" s="15">
        <v>4858</v>
      </c>
      <c r="N269" s="15" t="s">
        <v>118</v>
      </c>
    </row>
    <row r="270" spans="1:14" x14ac:dyDescent="0.3">
      <c r="A270" s="15" t="s">
        <v>435</v>
      </c>
      <c r="B270" s="15" t="s">
        <v>4</v>
      </c>
      <c r="C270" s="67">
        <v>45629</v>
      </c>
      <c r="D270" s="15" t="s">
        <v>85</v>
      </c>
      <c r="E270" s="15" t="s">
        <v>86</v>
      </c>
      <c r="F270" s="15">
        <v>3711</v>
      </c>
      <c r="G270" s="15">
        <v>352</v>
      </c>
      <c r="H270" s="15">
        <v>290</v>
      </c>
      <c r="I270" s="15">
        <v>48243</v>
      </c>
      <c r="J270" s="15">
        <v>47579</v>
      </c>
      <c r="K270" s="15">
        <v>11</v>
      </c>
      <c r="L270" s="15" t="s">
        <v>115</v>
      </c>
      <c r="M270" s="15">
        <v>4353</v>
      </c>
      <c r="N270" s="15" t="s">
        <v>118</v>
      </c>
    </row>
    <row r="271" spans="1:14" x14ac:dyDescent="0.3">
      <c r="A271" s="15" t="s">
        <v>435</v>
      </c>
      <c r="B271" s="15" t="s">
        <v>4</v>
      </c>
      <c r="C271" s="67">
        <v>45629</v>
      </c>
      <c r="D271" s="15" t="s">
        <v>85</v>
      </c>
      <c r="E271" s="15" t="s">
        <v>86</v>
      </c>
      <c r="F271" s="15">
        <v>3711</v>
      </c>
      <c r="G271" s="15">
        <v>352</v>
      </c>
      <c r="H271" s="15">
        <v>290</v>
      </c>
      <c r="I271" s="15">
        <v>48243</v>
      </c>
      <c r="J271" s="15">
        <v>47579</v>
      </c>
      <c r="K271" s="15">
        <v>11</v>
      </c>
      <c r="L271" s="15" t="s">
        <v>115</v>
      </c>
      <c r="M271" s="15">
        <v>4353</v>
      </c>
      <c r="N271" s="15" t="s">
        <v>137</v>
      </c>
    </row>
    <row r="272" spans="1:14" x14ac:dyDescent="0.3">
      <c r="A272" s="15" t="s">
        <v>436</v>
      </c>
      <c r="B272" s="15" t="s">
        <v>4</v>
      </c>
      <c r="C272" s="67">
        <v>45737</v>
      </c>
      <c r="D272" s="15" t="s">
        <v>109</v>
      </c>
      <c r="E272" s="15" t="s">
        <v>110</v>
      </c>
      <c r="F272" s="15">
        <v>606</v>
      </c>
      <c r="G272" s="15">
        <v>789</v>
      </c>
      <c r="H272" s="15">
        <v>470</v>
      </c>
      <c r="I272" s="15">
        <v>7878</v>
      </c>
      <c r="J272" s="15">
        <v>7389</v>
      </c>
      <c r="K272" s="15">
        <v>239</v>
      </c>
      <c r="L272" s="15" t="s">
        <v>88</v>
      </c>
      <c r="M272" s="15">
        <v>1865</v>
      </c>
      <c r="N272" s="15" t="s">
        <v>81</v>
      </c>
    </row>
    <row r="273" spans="1:14" x14ac:dyDescent="0.3">
      <c r="A273" s="15" t="s">
        <v>438</v>
      </c>
      <c r="B273" s="15" t="s">
        <v>1</v>
      </c>
      <c r="C273" s="67">
        <v>45504</v>
      </c>
      <c r="D273" s="15" t="s">
        <v>109</v>
      </c>
      <c r="E273" s="15" t="s">
        <v>110</v>
      </c>
      <c r="F273" s="15">
        <v>4689</v>
      </c>
      <c r="G273" s="15">
        <v>134</v>
      </c>
      <c r="H273" s="15">
        <v>403</v>
      </c>
      <c r="I273" s="15">
        <v>51579</v>
      </c>
      <c r="J273" s="15">
        <v>50924</v>
      </c>
      <c r="K273" s="15">
        <v>173</v>
      </c>
      <c r="L273" s="15" t="s">
        <v>82</v>
      </c>
      <c r="M273" s="15">
        <v>5226</v>
      </c>
      <c r="N273" s="15" t="s">
        <v>137</v>
      </c>
    </row>
    <row r="274" spans="1:14" x14ac:dyDescent="0.3">
      <c r="A274" s="15" t="s">
        <v>439</v>
      </c>
      <c r="B274" s="15" t="s">
        <v>2</v>
      </c>
      <c r="C274" s="67">
        <v>45643</v>
      </c>
      <c r="D274" s="15" t="s">
        <v>94</v>
      </c>
      <c r="E274" s="15" t="s">
        <v>95</v>
      </c>
      <c r="F274" s="15">
        <v>360</v>
      </c>
      <c r="G274" s="15">
        <v>590</v>
      </c>
      <c r="H274" s="15">
        <v>393</v>
      </c>
      <c r="I274" s="15">
        <v>4680</v>
      </c>
      <c r="J274" s="15">
        <v>4322</v>
      </c>
      <c r="K274" s="15">
        <v>208</v>
      </c>
      <c r="L274" s="15" t="s">
        <v>88</v>
      </c>
      <c r="M274" s="15">
        <v>1343</v>
      </c>
      <c r="N274" s="15" t="s">
        <v>118</v>
      </c>
    </row>
    <row r="275" spans="1:14" x14ac:dyDescent="0.3">
      <c r="A275" s="15" t="s">
        <v>439</v>
      </c>
      <c r="B275" s="15" t="s">
        <v>2</v>
      </c>
      <c r="C275" s="67">
        <v>45643</v>
      </c>
      <c r="D275" s="15" t="s">
        <v>94</v>
      </c>
      <c r="E275" s="15" t="s">
        <v>95</v>
      </c>
      <c r="F275" s="15">
        <v>360</v>
      </c>
      <c r="G275" s="15">
        <v>590</v>
      </c>
      <c r="H275" s="15">
        <v>393</v>
      </c>
      <c r="I275" s="15">
        <v>4680</v>
      </c>
      <c r="J275" s="15">
        <v>4322</v>
      </c>
      <c r="K275" s="15">
        <v>208</v>
      </c>
      <c r="L275" s="15" t="s">
        <v>88</v>
      </c>
      <c r="M275" s="15">
        <v>1343</v>
      </c>
      <c r="N275" s="15" t="s">
        <v>137</v>
      </c>
    </row>
    <row r="276" spans="1:14" x14ac:dyDescent="0.3">
      <c r="A276" s="15" t="s">
        <v>441</v>
      </c>
      <c r="B276" s="15" t="s">
        <v>3</v>
      </c>
      <c r="C276" s="67">
        <v>45501</v>
      </c>
      <c r="D276" s="15" t="s">
        <v>109</v>
      </c>
      <c r="E276" s="15" t="s">
        <v>110</v>
      </c>
      <c r="F276" s="15">
        <v>3215</v>
      </c>
      <c r="G276" s="15">
        <v>960</v>
      </c>
      <c r="H276" s="15">
        <v>202</v>
      </c>
      <c r="I276" s="15">
        <v>32150</v>
      </c>
      <c r="J276" s="15">
        <v>31404</v>
      </c>
      <c r="K276" s="15">
        <v>251</v>
      </c>
      <c r="L276" s="15" t="s">
        <v>99</v>
      </c>
      <c r="M276" s="15">
        <v>4377</v>
      </c>
      <c r="N276" s="15" t="s">
        <v>118</v>
      </c>
    </row>
    <row r="277" spans="1:14" x14ac:dyDescent="0.3">
      <c r="A277" s="15" t="s">
        <v>443</v>
      </c>
      <c r="B277" s="15" t="s">
        <v>2</v>
      </c>
      <c r="C277" s="67">
        <v>45668</v>
      </c>
      <c r="D277" s="15" t="s">
        <v>102</v>
      </c>
      <c r="E277" s="15" t="s">
        <v>103</v>
      </c>
      <c r="F277" s="15">
        <v>4523</v>
      </c>
      <c r="G277" s="15">
        <v>61</v>
      </c>
      <c r="H277" s="15">
        <v>157</v>
      </c>
      <c r="I277" s="15">
        <v>49753</v>
      </c>
      <c r="J277" s="15">
        <v>49329</v>
      </c>
      <c r="K277" s="15">
        <v>71</v>
      </c>
      <c r="L277" s="15" t="s">
        <v>115</v>
      </c>
      <c r="M277" s="15">
        <v>4741</v>
      </c>
      <c r="N277" s="15" t="s">
        <v>81</v>
      </c>
    </row>
    <row r="278" spans="1:14" x14ac:dyDescent="0.3">
      <c r="A278" s="15" t="s">
        <v>443</v>
      </c>
      <c r="B278" s="15" t="s">
        <v>2</v>
      </c>
      <c r="C278" s="67">
        <v>45668</v>
      </c>
      <c r="D278" s="15" t="s">
        <v>102</v>
      </c>
      <c r="E278" s="15" t="s">
        <v>103</v>
      </c>
      <c r="F278" s="15">
        <v>4523</v>
      </c>
      <c r="G278" s="15">
        <v>61</v>
      </c>
      <c r="H278" s="15">
        <v>157</v>
      </c>
      <c r="I278" s="15">
        <v>49753</v>
      </c>
      <c r="J278" s="15">
        <v>49329</v>
      </c>
      <c r="K278" s="15">
        <v>71</v>
      </c>
      <c r="L278" s="15" t="s">
        <v>115</v>
      </c>
      <c r="M278" s="15">
        <v>4741</v>
      </c>
      <c r="N278" s="15" t="s">
        <v>104</v>
      </c>
    </row>
    <row r="279" spans="1:14" x14ac:dyDescent="0.3">
      <c r="A279" s="15" t="s">
        <v>445</v>
      </c>
      <c r="B279" s="15" t="s">
        <v>1</v>
      </c>
      <c r="C279" s="67">
        <v>45528</v>
      </c>
      <c r="D279" s="15" t="s">
        <v>102</v>
      </c>
      <c r="E279" s="15" t="s">
        <v>103</v>
      </c>
      <c r="F279" s="15">
        <v>4292</v>
      </c>
      <c r="G279" s="15">
        <v>51</v>
      </c>
      <c r="H279" s="15">
        <v>392</v>
      </c>
      <c r="I279" s="15">
        <v>55796</v>
      </c>
      <c r="J279" s="15">
        <v>54826</v>
      </c>
      <c r="K279" s="15">
        <v>264</v>
      </c>
      <c r="L279" s="15" t="s">
        <v>82</v>
      </c>
      <c r="M279" s="15">
        <v>4735</v>
      </c>
      <c r="N279" s="15" t="s">
        <v>104</v>
      </c>
    </row>
    <row r="280" spans="1:14" x14ac:dyDescent="0.3">
      <c r="A280" s="15" t="s">
        <v>445</v>
      </c>
      <c r="B280" s="15" t="s">
        <v>1</v>
      </c>
      <c r="C280" s="67">
        <v>45528</v>
      </c>
      <c r="D280" s="15" t="s">
        <v>102</v>
      </c>
      <c r="E280" s="15" t="s">
        <v>103</v>
      </c>
      <c r="F280" s="15">
        <v>4292</v>
      </c>
      <c r="G280" s="15">
        <v>51</v>
      </c>
      <c r="H280" s="15">
        <v>392</v>
      </c>
      <c r="I280" s="15">
        <v>55796</v>
      </c>
      <c r="J280" s="15">
        <v>54826</v>
      </c>
      <c r="K280" s="15">
        <v>264</v>
      </c>
      <c r="L280" s="15" t="s">
        <v>82</v>
      </c>
      <c r="M280" s="15">
        <v>4735</v>
      </c>
      <c r="N280" s="15" t="s">
        <v>118</v>
      </c>
    </row>
    <row r="281" spans="1:14" x14ac:dyDescent="0.3">
      <c r="A281" s="15" t="s">
        <v>446</v>
      </c>
      <c r="B281" s="15" t="s">
        <v>3</v>
      </c>
      <c r="C281" s="67">
        <v>45648</v>
      </c>
      <c r="D281" s="15" t="s">
        <v>79</v>
      </c>
      <c r="E281" s="15" t="s">
        <v>80</v>
      </c>
      <c r="F281" s="15">
        <v>1644</v>
      </c>
      <c r="G281" s="15">
        <v>546</v>
      </c>
      <c r="H281" s="15">
        <v>150</v>
      </c>
      <c r="I281" s="15">
        <v>27948</v>
      </c>
      <c r="J281" s="15">
        <v>27184</v>
      </c>
      <c r="K281" s="15">
        <v>300</v>
      </c>
      <c r="L281" s="15" t="s">
        <v>82</v>
      </c>
      <c r="M281" s="15">
        <v>2340</v>
      </c>
      <c r="N281" s="15" t="s">
        <v>81</v>
      </c>
    </row>
    <row r="282" spans="1:14" x14ac:dyDescent="0.3">
      <c r="A282" s="15" t="s">
        <v>446</v>
      </c>
      <c r="B282" s="15" t="s">
        <v>3</v>
      </c>
      <c r="C282" s="67">
        <v>45648</v>
      </c>
      <c r="D282" s="15" t="s">
        <v>79</v>
      </c>
      <c r="E282" s="15" t="s">
        <v>80</v>
      </c>
      <c r="F282" s="15">
        <v>1644</v>
      </c>
      <c r="G282" s="15">
        <v>546</v>
      </c>
      <c r="H282" s="15">
        <v>150</v>
      </c>
      <c r="I282" s="15">
        <v>27948</v>
      </c>
      <c r="J282" s="15">
        <v>27184</v>
      </c>
      <c r="K282" s="15">
        <v>300</v>
      </c>
      <c r="L282" s="15" t="s">
        <v>82</v>
      </c>
      <c r="M282" s="15">
        <v>2340</v>
      </c>
      <c r="N282" s="15" t="s">
        <v>104</v>
      </c>
    </row>
    <row r="283" spans="1:14" x14ac:dyDescent="0.3">
      <c r="A283" s="15" t="s">
        <v>448</v>
      </c>
      <c r="B283" s="15" t="s">
        <v>4</v>
      </c>
      <c r="C283" s="67">
        <v>45449</v>
      </c>
      <c r="D283" s="15" t="s">
        <v>79</v>
      </c>
      <c r="E283" s="15" t="s">
        <v>80</v>
      </c>
      <c r="F283" s="15">
        <v>2728</v>
      </c>
      <c r="G283" s="15">
        <v>533</v>
      </c>
      <c r="H283" s="15">
        <v>215</v>
      </c>
      <c r="I283" s="15">
        <v>40920</v>
      </c>
      <c r="J283" s="15">
        <v>40816</v>
      </c>
      <c r="K283" s="15">
        <v>137</v>
      </c>
      <c r="L283" s="15" t="s">
        <v>88</v>
      </c>
      <c r="M283" s="15">
        <v>3476</v>
      </c>
      <c r="N283" s="15" t="s">
        <v>81</v>
      </c>
    </row>
    <row r="284" spans="1:14" x14ac:dyDescent="0.3">
      <c r="A284" s="15" t="s">
        <v>449</v>
      </c>
      <c r="B284" s="15" t="s">
        <v>1</v>
      </c>
      <c r="C284" s="67">
        <v>45740</v>
      </c>
      <c r="D284" s="15" t="s">
        <v>79</v>
      </c>
      <c r="E284" s="15" t="s">
        <v>80</v>
      </c>
      <c r="F284" s="15">
        <v>3360</v>
      </c>
      <c r="G284" s="15">
        <v>525</v>
      </c>
      <c r="H284" s="15">
        <v>500</v>
      </c>
      <c r="I284" s="15">
        <v>60480</v>
      </c>
      <c r="J284" s="15">
        <v>59610</v>
      </c>
      <c r="K284" s="15">
        <v>192</v>
      </c>
      <c r="L284" s="15" t="s">
        <v>82</v>
      </c>
      <c r="M284" s="15">
        <v>4385</v>
      </c>
      <c r="N284" s="15" t="s">
        <v>81</v>
      </c>
    </row>
    <row r="285" spans="1:14" x14ac:dyDescent="0.3">
      <c r="A285" s="15" t="s">
        <v>449</v>
      </c>
      <c r="B285" s="15" t="s">
        <v>1</v>
      </c>
      <c r="C285" s="67">
        <v>45740</v>
      </c>
      <c r="D285" s="15" t="s">
        <v>79</v>
      </c>
      <c r="E285" s="15" t="s">
        <v>80</v>
      </c>
      <c r="F285" s="15">
        <v>3360</v>
      </c>
      <c r="G285" s="15">
        <v>525</v>
      </c>
      <c r="H285" s="15">
        <v>500</v>
      </c>
      <c r="I285" s="15">
        <v>60480</v>
      </c>
      <c r="J285" s="15">
        <v>59610</v>
      </c>
      <c r="K285" s="15">
        <v>192</v>
      </c>
      <c r="L285" s="15" t="s">
        <v>82</v>
      </c>
      <c r="M285" s="15">
        <v>4385</v>
      </c>
      <c r="N285" s="15" t="s">
        <v>118</v>
      </c>
    </row>
    <row r="286" spans="1:14" x14ac:dyDescent="0.3">
      <c r="A286" s="15" t="s">
        <v>450</v>
      </c>
      <c r="B286" s="15" t="s">
        <v>4</v>
      </c>
      <c r="C286" s="67">
        <v>45569</v>
      </c>
      <c r="D286" s="15" t="s">
        <v>85</v>
      </c>
      <c r="E286" s="15" t="s">
        <v>86</v>
      </c>
      <c r="F286" s="15">
        <v>1963</v>
      </c>
      <c r="G286" s="15">
        <v>213</v>
      </c>
      <c r="H286" s="15">
        <v>19</v>
      </c>
      <c r="I286" s="15">
        <v>39260</v>
      </c>
      <c r="J286" s="15">
        <v>38771</v>
      </c>
      <c r="K286" s="15">
        <v>145</v>
      </c>
      <c r="L286" s="15" t="s">
        <v>82</v>
      </c>
      <c r="M286" s="15">
        <v>2195</v>
      </c>
      <c r="N286" s="15" t="s">
        <v>118</v>
      </c>
    </row>
    <row r="287" spans="1:14" x14ac:dyDescent="0.3">
      <c r="A287" s="15" t="s">
        <v>452</v>
      </c>
      <c r="B287" s="15" t="s">
        <v>4</v>
      </c>
      <c r="C287" s="67">
        <v>45629</v>
      </c>
      <c r="D287" s="15" t="s">
        <v>94</v>
      </c>
      <c r="E287" s="15" t="s">
        <v>95</v>
      </c>
      <c r="F287" s="15">
        <v>4285</v>
      </c>
      <c r="G287" s="15">
        <v>886</v>
      </c>
      <c r="H287" s="15">
        <v>376</v>
      </c>
      <c r="I287" s="15">
        <v>55705</v>
      </c>
      <c r="J287" s="15">
        <v>55556</v>
      </c>
      <c r="K287" s="15">
        <v>51</v>
      </c>
      <c r="L287" s="15" t="s">
        <v>115</v>
      </c>
      <c r="M287" s="15">
        <v>5547</v>
      </c>
      <c r="N287" s="15" t="s">
        <v>87</v>
      </c>
    </row>
    <row r="288" spans="1:14" x14ac:dyDescent="0.3">
      <c r="A288" s="15" t="s">
        <v>452</v>
      </c>
      <c r="B288" s="15" t="s">
        <v>4</v>
      </c>
      <c r="C288" s="67">
        <v>45629</v>
      </c>
      <c r="D288" s="15" t="s">
        <v>94</v>
      </c>
      <c r="E288" s="15" t="s">
        <v>95</v>
      </c>
      <c r="F288" s="15">
        <v>4285</v>
      </c>
      <c r="G288" s="15">
        <v>886</v>
      </c>
      <c r="H288" s="15">
        <v>376</v>
      </c>
      <c r="I288" s="15">
        <v>55705</v>
      </c>
      <c r="J288" s="15">
        <v>55556</v>
      </c>
      <c r="K288" s="15">
        <v>51</v>
      </c>
      <c r="L288" s="15" t="s">
        <v>115</v>
      </c>
      <c r="M288" s="15">
        <v>5547</v>
      </c>
      <c r="N288" s="15" t="s">
        <v>137</v>
      </c>
    </row>
    <row r="289" spans="1:14" x14ac:dyDescent="0.3">
      <c r="A289" s="15" t="s">
        <v>453</v>
      </c>
      <c r="B289" s="15" t="s">
        <v>2</v>
      </c>
      <c r="C289" s="67">
        <v>45625</v>
      </c>
      <c r="D289" s="15" t="s">
        <v>129</v>
      </c>
      <c r="E289" s="15" t="s">
        <v>130</v>
      </c>
      <c r="F289" s="15">
        <v>1176</v>
      </c>
      <c r="G289" s="15">
        <v>464</v>
      </c>
      <c r="H289" s="15">
        <v>394</v>
      </c>
      <c r="I289" s="15">
        <v>14112</v>
      </c>
      <c r="J289" s="15">
        <v>13588</v>
      </c>
      <c r="K289" s="15">
        <v>272</v>
      </c>
      <c r="L289" s="15" t="s">
        <v>82</v>
      </c>
      <c r="M289" s="15">
        <v>2034</v>
      </c>
      <c r="N289" s="15" t="s">
        <v>137</v>
      </c>
    </row>
    <row r="290" spans="1:14" x14ac:dyDescent="0.3">
      <c r="A290" s="15" t="s">
        <v>455</v>
      </c>
      <c r="B290" s="15" t="s">
        <v>3</v>
      </c>
      <c r="C290" s="67">
        <v>45546</v>
      </c>
      <c r="D290" s="15" t="s">
        <v>109</v>
      </c>
      <c r="E290" s="15" t="s">
        <v>110</v>
      </c>
      <c r="F290" s="15">
        <v>4858</v>
      </c>
      <c r="G290" s="15">
        <v>317</v>
      </c>
      <c r="H290" s="15">
        <v>129</v>
      </c>
      <c r="I290" s="15">
        <v>53438</v>
      </c>
      <c r="J290" s="15">
        <v>52687</v>
      </c>
      <c r="K290" s="15">
        <v>223</v>
      </c>
      <c r="L290" s="15" t="s">
        <v>82</v>
      </c>
      <c r="M290" s="15">
        <v>5304</v>
      </c>
      <c r="N290" s="15" t="s">
        <v>137</v>
      </c>
    </row>
    <row r="291" spans="1:14" x14ac:dyDescent="0.3">
      <c r="A291" s="15" t="s">
        <v>455</v>
      </c>
      <c r="B291" s="15" t="s">
        <v>3</v>
      </c>
      <c r="C291" s="67">
        <v>45546</v>
      </c>
      <c r="D291" s="15" t="s">
        <v>109</v>
      </c>
      <c r="E291" s="15" t="s">
        <v>110</v>
      </c>
      <c r="F291" s="15">
        <v>4858</v>
      </c>
      <c r="G291" s="15">
        <v>317</v>
      </c>
      <c r="H291" s="15">
        <v>129</v>
      </c>
      <c r="I291" s="15">
        <v>53438</v>
      </c>
      <c r="J291" s="15">
        <v>52687</v>
      </c>
      <c r="K291" s="15">
        <v>223</v>
      </c>
      <c r="L291" s="15" t="s">
        <v>82</v>
      </c>
      <c r="M291" s="15">
        <v>5304</v>
      </c>
      <c r="N291" s="15" t="s">
        <v>104</v>
      </c>
    </row>
    <row r="292" spans="1:14" x14ac:dyDescent="0.3">
      <c r="A292" s="15" t="s">
        <v>457</v>
      </c>
      <c r="B292" s="15" t="s">
        <v>4</v>
      </c>
      <c r="C292" s="67">
        <v>45567</v>
      </c>
      <c r="D292" s="15" t="s">
        <v>94</v>
      </c>
      <c r="E292" s="15" t="s">
        <v>95</v>
      </c>
      <c r="F292" s="15">
        <v>4350</v>
      </c>
      <c r="G292" s="15">
        <v>771</v>
      </c>
      <c r="H292" s="15">
        <v>7</v>
      </c>
      <c r="I292" s="15">
        <v>60900</v>
      </c>
      <c r="J292" s="15">
        <v>60592</v>
      </c>
      <c r="K292" s="15">
        <v>195</v>
      </c>
      <c r="L292" s="15" t="s">
        <v>88</v>
      </c>
      <c r="M292" s="15">
        <v>5128</v>
      </c>
      <c r="N292" s="15" t="s">
        <v>137</v>
      </c>
    </row>
    <row r="293" spans="1:14" x14ac:dyDescent="0.3">
      <c r="A293" s="15" t="s">
        <v>457</v>
      </c>
      <c r="B293" s="15" t="s">
        <v>4</v>
      </c>
      <c r="C293" s="67">
        <v>45567</v>
      </c>
      <c r="D293" s="15" t="s">
        <v>94</v>
      </c>
      <c r="E293" s="15" t="s">
        <v>95</v>
      </c>
      <c r="F293" s="15">
        <v>4350</v>
      </c>
      <c r="G293" s="15">
        <v>771</v>
      </c>
      <c r="H293" s="15">
        <v>7</v>
      </c>
      <c r="I293" s="15">
        <v>60900</v>
      </c>
      <c r="J293" s="15">
        <v>60592</v>
      </c>
      <c r="K293" s="15">
        <v>195</v>
      </c>
      <c r="L293" s="15" t="s">
        <v>88</v>
      </c>
      <c r="M293" s="15">
        <v>5128</v>
      </c>
      <c r="N293" s="15" t="s">
        <v>118</v>
      </c>
    </row>
    <row r="294" spans="1:14" x14ac:dyDescent="0.3">
      <c r="A294" s="15" t="s">
        <v>458</v>
      </c>
      <c r="B294" s="15" t="s">
        <v>2</v>
      </c>
      <c r="C294" s="67">
        <v>45519</v>
      </c>
      <c r="D294" s="15" t="s">
        <v>102</v>
      </c>
      <c r="E294" s="15" t="s">
        <v>103</v>
      </c>
      <c r="F294" s="15">
        <v>914</v>
      </c>
      <c r="G294" s="15">
        <v>464</v>
      </c>
      <c r="H294" s="15">
        <v>246</v>
      </c>
      <c r="I294" s="15">
        <v>11882</v>
      </c>
      <c r="J294" s="15">
        <v>11500</v>
      </c>
      <c r="K294" s="15">
        <v>282</v>
      </c>
      <c r="L294" s="15" t="s">
        <v>99</v>
      </c>
      <c r="M294" s="15">
        <v>1624</v>
      </c>
      <c r="N294" s="15" t="s">
        <v>87</v>
      </c>
    </row>
    <row r="295" spans="1:14" x14ac:dyDescent="0.3">
      <c r="A295" s="15" t="s">
        <v>458</v>
      </c>
      <c r="B295" s="15" t="s">
        <v>2</v>
      </c>
      <c r="C295" s="67">
        <v>45519</v>
      </c>
      <c r="D295" s="15" t="s">
        <v>102</v>
      </c>
      <c r="E295" s="15" t="s">
        <v>103</v>
      </c>
      <c r="F295" s="15">
        <v>914</v>
      </c>
      <c r="G295" s="15">
        <v>464</v>
      </c>
      <c r="H295" s="15">
        <v>246</v>
      </c>
      <c r="I295" s="15">
        <v>11882</v>
      </c>
      <c r="J295" s="15">
        <v>11500</v>
      </c>
      <c r="K295" s="15">
        <v>282</v>
      </c>
      <c r="L295" s="15" t="s">
        <v>99</v>
      </c>
      <c r="M295" s="15">
        <v>1624</v>
      </c>
      <c r="N295" s="15" t="s">
        <v>104</v>
      </c>
    </row>
    <row r="296" spans="1:14" x14ac:dyDescent="0.3">
      <c r="A296" s="15" t="s">
        <v>460</v>
      </c>
      <c r="B296" s="15" t="s">
        <v>2</v>
      </c>
      <c r="C296" s="67">
        <v>45645</v>
      </c>
      <c r="D296" s="15" t="s">
        <v>85</v>
      </c>
      <c r="E296" s="15" t="s">
        <v>86</v>
      </c>
      <c r="F296" s="15">
        <v>1813</v>
      </c>
      <c r="G296" s="15">
        <v>623</v>
      </c>
      <c r="H296" s="15">
        <v>72</v>
      </c>
      <c r="I296" s="15">
        <v>19943</v>
      </c>
      <c r="J296" s="15">
        <v>18959</v>
      </c>
      <c r="K296" s="15">
        <v>85</v>
      </c>
      <c r="L296" s="15" t="s">
        <v>99</v>
      </c>
      <c r="M296" s="15">
        <v>2508</v>
      </c>
      <c r="N296" s="15" t="s">
        <v>104</v>
      </c>
    </row>
    <row r="297" spans="1:14" x14ac:dyDescent="0.3">
      <c r="A297" s="15" t="s">
        <v>460</v>
      </c>
      <c r="B297" s="15" t="s">
        <v>2</v>
      </c>
      <c r="C297" s="67">
        <v>45645</v>
      </c>
      <c r="D297" s="15" t="s">
        <v>85</v>
      </c>
      <c r="E297" s="15" t="s">
        <v>86</v>
      </c>
      <c r="F297" s="15">
        <v>1813</v>
      </c>
      <c r="G297" s="15">
        <v>623</v>
      </c>
      <c r="H297" s="15">
        <v>72</v>
      </c>
      <c r="I297" s="15">
        <v>19943</v>
      </c>
      <c r="J297" s="15">
        <v>18959</v>
      </c>
      <c r="K297" s="15">
        <v>85</v>
      </c>
      <c r="L297" s="15" t="s">
        <v>99</v>
      </c>
      <c r="M297" s="15">
        <v>2508</v>
      </c>
      <c r="N297" s="15" t="s">
        <v>87</v>
      </c>
    </row>
    <row r="298" spans="1:14" x14ac:dyDescent="0.3">
      <c r="A298" s="15" t="s">
        <v>462</v>
      </c>
      <c r="B298" s="15" t="s">
        <v>3</v>
      </c>
      <c r="C298" s="67">
        <v>45587</v>
      </c>
      <c r="D298" s="15" t="s">
        <v>79</v>
      </c>
      <c r="E298" s="15" t="s">
        <v>80</v>
      </c>
      <c r="F298" s="15">
        <v>4782</v>
      </c>
      <c r="G298" s="15">
        <v>721</v>
      </c>
      <c r="H298" s="15">
        <v>82</v>
      </c>
      <c r="I298" s="15">
        <v>86076</v>
      </c>
      <c r="J298" s="15">
        <v>85339</v>
      </c>
      <c r="K298" s="15">
        <v>19</v>
      </c>
      <c r="L298" s="15" t="s">
        <v>88</v>
      </c>
      <c r="M298" s="15">
        <v>5585</v>
      </c>
      <c r="N298" s="15" t="s">
        <v>137</v>
      </c>
    </row>
    <row r="299" spans="1:14" x14ac:dyDescent="0.3">
      <c r="A299" s="15" t="s">
        <v>463</v>
      </c>
      <c r="B299" s="15" t="s">
        <v>3</v>
      </c>
      <c r="C299" s="67">
        <v>45549</v>
      </c>
      <c r="D299" s="15" t="s">
        <v>109</v>
      </c>
      <c r="E299" s="15" t="s">
        <v>110</v>
      </c>
      <c r="F299" s="15">
        <v>1048</v>
      </c>
      <c r="G299" s="15">
        <v>374</v>
      </c>
      <c r="H299" s="15">
        <v>450</v>
      </c>
      <c r="I299" s="15">
        <v>9432</v>
      </c>
      <c r="J299" s="15">
        <v>8882</v>
      </c>
      <c r="K299" s="15">
        <v>158</v>
      </c>
      <c r="L299" s="15" t="s">
        <v>88</v>
      </c>
      <c r="M299" s="15">
        <v>1872</v>
      </c>
      <c r="N299" s="15" t="s">
        <v>104</v>
      </c>
    </row>
    <row r="300" spans="1:14" x14ac:dyDescent="0.3">
      <c r="A300" s="15" t="s">
        <v>463</v>
      </c>
      <c r="B300" s="15" t="s">
        <v>3</v>
      </c>
      <c r="C300" s="67">
        <v>45549</v>
      </c>
      <c r="D300" s="15" t="s">
        <v>109</v>
      </c>
      <c r="E300" s="15" t="s">
        <v>110</v>
      </c>
      <c r="F300" s="15">
        <v>1048</v>
      </c>
      <c r="G300" s="15">
        <v>374</v>
      </c>
      <c r="H300" s="15">
        <v>450</v>
      </c>
      <c r="I300" s="15">
        <v>9432</v>
      </c>
      <c r="J300" s="15">
        <v>8882</v>
      </c>
      <c r="K300" s="15">
        <v>158</v>
      </c>
      <c r="L300" s="15" t="s">
        <v>88</v>
      </c>
      <c r="M300" s="15">
        <v>1872</v>
      </c>
      <c r="N300" s="15" t="s">
        <v>81</v>
      </c>
    </row>
    <row r="301" spans="1:14" x14ac:dyDescent="0.3">
      <c r="A301" s="15" t="s">
        <v>465</v>
      </c>
      <c r="B301" s="15" t="s">
        <v>4</v>
      </c>
      <c r="C301" s="67">
        <v>45626</v>
      </c>
      <c r="D301" s="15" t="s">
        <v>102</v>
      </c>
      <c r="E301" s="15" t="s">
        <v>103</v>
      </c>
      <c r="F301" s="15">
        <v>2509</v>
      </c>
      <c r="G301" s="15">
        <v>324</v>
      </c>
      <c r="H301" s="15">
        <v>171</v>
      </c>
      <c r="I301" s="15">
        <v>35126</v>
      </c>
      <c r="J301" s="15">
        <v>34685</v>
      </c>
      <c r="K301" s="15">
        <v>277</v>
      </c>
      <c r="L301" s="15" t="s">
        <v>88</v>
      </c>
      <c r="M301" s="15">
        <v>3004</v>
      </c>
      <c r="N301" s="15" t="s">
        <v>137</v>
      </c>
    </row>
    <row r="302" spans="1:14" x14ac:dyDescent="0.3">
      <c r="A302" s="15" t="s">
        <v>466</v>
      </c>
      <c r="B302" s="15" t="s">
        <v>1</v>
      </c>
      <c r="C302" s="67">
        <v>45754</v>
      </c>
      <c r="D302" s="15" t="s">
        <v>79</v>
      </c>
      <c r="E302" s="15" t="s">
        <v>80</v>
      </c>
      <c r="F302" s="15">
        <v>3718</v>
      </c>
      <c r="G302" s="15">
        <v>385</v>
      </c>
      <c r="H302" s="15">
        <v>310</v>
      </c>
      <c r="I302" s="15">
        <v>70642</v>
      </c>
      <c r="J302" s="15">
        <v>69749</v>
      </c>
      <c r="K302" s="15">
        <v>233</v>
      </c>
      <c r="L302" s="15" t="s">
        <v>82</v>
      </c>
      <c r="M302" s="15">
        <v>4413</v>
      </c>
      <c r="N302" s="15" t="s">
        <v>104</v>
      </c>
    </row>
    <row r="303" spans="1:14" x14ac:dyDescent="0.3">
      <c r="A303" s="15" t="s">
        <v>468</v>
      </c>
      <c r="B303" s="15" t="s">
        <v>3</v>
      </c>
      <c r="C303" s="67">
        <v>45672</v>
      </c>
      <c r="D303" s="15" t="s">
        <v>79</v>
      </c>
      <c r="E303" s="15" t="s">
        <v>80</v>
      </c>
      <c r="F303" s="15">
        <v>802</v>
      </c>
      <c r="G303" s="15">
        <v>262</v>
      </c>
      <c r="H303" s="15">
        <v>244</v>
      </c>
      <c r="I303" s="15">
        <v>14436</v>
      </c>
      <c r="J303" s="15">
        <v>14280</v>
      </c>
      <c r="K303" s="15">
        <v>49</v>
      </c>
      <c r="L303" s="15" t="s">
        <v>115</v>
      </c>
      <c r="M303" s="15">
        <v>1308</v>
      </c>
      <c r="N303" s="15" t="s">
        <v>81</v>
      </c>
    </row>
    <row r="304" spans="1:14" x14ac:dyDescent="0.3">
      <c r="A304" s="15" t="s">
        <v>468</v>
      </c>
      <c r="B304" s="15" t="s">
        <v>3</v>
      </c>
      <c r="C304" s="67">
        <v>45672</v>
      </c>
      <c r="D304" s="15" t="s">
        <v>79</v>
      </c>
      <c r="E304" s="15" t="s">
        <v>80</v>
      </c>
      <c r="F304" s="15">
        <v>802</v>
      </c>
      <c r="G304" s="15">
        <v>262</v>
      </c>
      <c r="H304" s="15">
        <v>244</v>
      </c>
      <c r="I304" s="15">
        <v>14436</v>
      </c>
      <c r="J304" s="15">
        <v>14280</v>
      </c>
      <c r="K304" s="15">
        <v>49</v>
      </c>
      <c r="L304" s="15" t="s">
        <v>115</v>
      </c>
      <c r="M304" s="15">
        <v>1308</v>
      </c>
      <c r="N304" s="15" t="s">
        <v>137</v>
      </c>
    </row>
    <row r="305" spans="1:14" x14ac:dyDescent="0.3">
      <c r="A305" s="15" t="s">
        <v>470</v>
      </c>
      <c r="B305" s="15" t="s">
        <v>1</v>
      </c>
      <c r="C305" s="67">
        <v>45445</v>
      </c>
      <c r="D305" s="15" t="s">
        <v>109</v>
      </c>
      <c r="E305" s="15" t="s">
        <v>110</v>
      </c>
      <c r="F305" s="15">
        <v>1871</v>
      </c>
      <c r="G305" s="15">
        <v>252</v>
      </c>
      <c r="H305" s="15">
        <v>335</v>
      </c>
      <c r="I305" s="15">
        <v>29936</v>
      </c>
      <c r="J305" s="15">
        <v>29576</v>
      </c>
      <c r="K305" s="15">
        <v>288</v>
      </c>
      <c r="L305" s="15" t="s">
        <v>88</v>
      </c>
      <c r="M305" s="15">
        <v>2458</v>
      </c>
      <c r="N305" s="15" t="s">
        <v>104</v>
      </c>
    </row>
    <row r="306" spans="1:14" x14ac:dyDescent="0.3">
      <c r="A306" s="15" t="s">
        <v>472</v>
      </c>
      <c r="B306" s="15" t="s">
        <v>2</v>
      </c>
      <c r="C306" s="67">
        <v>45617</v>
      </c>
      <c r="D306" s="15" t="s">
        <v>102</v>
      </c>
      <c r="E306" s="15" t="s">
        <v>103</v>
      </c>
      <c r="F306" s="15">
        <v>3773</v>
      </c>
      <c r="G306" s="15">
        <v>299</v>
      </c>
      <c r="H306" s="15">
        <v>38</v>
      </c>
      <c r="I306" s="15">
        <v>71687</v>
      </c>
      <c r="J306" s="15">
        <v>71447</v>
      </c>
      <c r="K306" s="15">
        <v>286</v>
      </c>
      <c r="L306" s="15" t="s">
        <v>115</v>
      </c>
      <c r="M306" s="15">
        <v>4110</v>
      </c>
      <c r="N306" s="15" t="s">
        <v>104</v>
      </c>
    </row>
    <row r="307" spans="1:14" x14ac:dyDescent="0.3">
      <c r="A307" s="15" t="s">
        <v>474</v>
      </c>
      <c r="B307" s="15" t="s">
        <v>2</v>
      </c>
      <c r="C307" s="67">
        <v>45658</v>
      </c>
      <c r="D307" s="15" t="s">
        <v>102</v>
      </c>
      <c r="E307" s="15" t="s">
        <v>103</v>
      </c>
      <c r="F307" s="15">
        <v>2234</v>
      </c>
      <c r="G307" s="15">
        <v>653</v>
      </c>
      <c r="H307" s="15">
        <v>432</v>
      </c>
      <c r="I307" s="15">
        <v>11170</v>
      </c>
      <c r="J307" s="15">
        <v>10569</v>
      </c>
      <c r="K307" s="15">
        <v>198</v>
      </c>
      <c r="L307" s="15" t="s">
        <v>115</v>
      </c>
      <c r="M307" s="15">
        <v>3319</v>
      </c>
      <c r="N307" s="15" t="s">
        <v>137</v>
      </c>
    </row>
    <row r="308" spans="1:14" x14ac:dyDescent="0.3">
      <c r="A308" s="15" t="s">
        <v>474</v>
      </c>
      <c r="B308" s="15" t="s">
        <v>2</v>
      </c>
      <c r="C308" s="67">
        <v>45658</v>
      </c>
      <c r="D308" s="15" t="s">
        <v>102</v>
      </c>
      <c r="E308" s="15" t="s">
        <v>103</v>
      </c>
      <c r="F308" s="15">
        <v>2234</v>
      </c>
      <c r="G308" s="15">
        <v>653</v>
      </c>
      <c r="H308" s="15">
        <v>432</v>
      </c>
      <c r="I308" s="15">
        <v>11170</v>
      </c>
      <c r="J308" s="15">
        <v>10569</v>
      </c>
      <c r="K308" s="15">
        <v>198</v>
      </c>
      <c r="L308" s="15" t="s">
        <v>115</v>
      </c>
      <c r="M308" s="15">
        <v>3319</v>
      </c>
      <c r="N308" s="15" t="s">
        <v>118</v>
      </c>
    </row>
    <row r="309" spans="1:14" x14ac:dyDescent="0.3">
      <c r="A309" s="15" t="s">
        <v>475</v>
      </c>
      <c r="B309" s="15" t="s">
        <v>3</v>
      </c>
      <c r="C309" s="67">
        <v>45771</v>
      </c>
      <c r="D309" s="15" t="s">
        <v>129</v>
      </c>
      <c r="E309" s="15" t="s">
        <v>130</v>
      </c>
      <c r="F309" s="15">
        <v>3820</v>
      </c>
      <c r="G309" s="15">
        <v>697</v>
      </c>
      <c r="H309" s="15">
        <v>268</v>
      </c>
      <c r="I309" s="15">
        <v>45840</v>
      </c>
      <c r="J309" s="15">
        <v>45631</v>
      </c>
      <c r="K309" s="15">
        <v>171</v>
      </c>
      <c r="L309" s="15" t="s">
        <v>82</v>
      </c>
      <c r="M309" s="15">
        <v>4785</v>
      </c>
      <c r="N309" s="15" t="s">
        <v>118</v>
      </c>
    </row>
    <row r="310" spans="1:14" x14ac:dyDescent="0.3">
      <c r="A310" s="15" t="s">
        <v>475</v>
      </c>
      <c r="B310" s="15" t="s">
        <v>3</v>
      </c>
      <c r="C310" s="67">
        <v>45771</v>
      </c>
      <c r="D310" s="15" t="s">
        <v>129</v>
      </c>
      <c r="E310" s="15" t="s">
        <v>130</v>
      </c>
      <c r="F310" s="15">
        <v>3820</v>
      </c>
      <c r="G310" s="15">
        <v>697</v>
      </c>
      <c r="H310" s="15">
        <v>268</v>
      </c>
      <c r="I310" s="15">
        <v>45840</v>
      </c>
      <c r="J310" s="15">
        <v>45631</v>
      </c>
      <c r="K310" s="15">
        <v>171</v>
      </c>
      <c r="L310" s="15" t="s">
        <v>82</v>
      </c>
      <c r="M310" s="15">
        <v>4785</v>
      </c>
      <c r="N310" s="15" t="s">
        <v>137</v>
      </c>
    </row>
    <row r="311" spans="1:14" x14ac:dyDescent="0.3">
      <c r="A311" s="15" t="s">
        <v>476</v>
      </c>
      <c r="B311" s="15" t="s">
        <v>3</v>
      </c>
      <c r="C311" s="67">
        <v>45467</v>
      </c>
      <c r="D311" s="15" t="s">
        <v>85</v>
      </c>
      <c r="E311" s="15" t="s">
        <v>86</v>
      </c>
      <c r="F311" s="15">
        <v>941</v>
      </c>
      <c r="G311" s="15">
        <v>121</v>
      </c>
      <c r="H311" s="15">
        <v>458</v>
      </c>
      <c r="I311" s="15">
        <v>14115</v>
      </c>
      <c r="J311" s="15">
        <v>13838</v>
      </c>
      <c r="K311" s="15">
        <v>87</v>
      </c>
      <c r="L311" s="15" t="s">
        <v>88</v>
      </c>
      <c r="M311" s="15">
        <v>1520</v>
      </c>
      <c r="N311" s="15" t="s">
        <v>87</v>
      </c>
    </row>
    <row r="312" spans="1:14" x14ac:dyDescent="0.3">
      <c r="A312" s="15" t="s">
        <v>476</v>
      </c>
      <c r="B312" s="15" t="s">
        <v>3</v>
      </c>
      <c r="C312" s="67">
        <v>45467</v>
      </c>
      <c r="D312" s="15" t="s">
        <v>85</v>
      </c>
      <c r="E312" s="15" t="s">
        <v>86</v>
      </c>
      <c r="F312" s="15">
        <v>941</v>
      </c>
      <c r="G312" s="15">
        <v>121</v>
      </c>
      <c r="H312" s="15">
        <v>458</v>
      </c>
      <c r="I312" s="15">
        <v>14115</v>
      </c>
      <c r="J312" s="15">
        <v>13838</v>
      </c>
      <c r="K312" s="15">
        <v>87</v>
      </c>
      <c r="L312" s="15" t="s">
        <v>88</v>
      </c>
      <c r="M312" s="15">
        <v>1520</v>
      </c>
      <c r="N312" s="15" t="s">
        <v>81</v>
      </c>
    </row>
    <row r="313" spans="1:14" x14ac:dyDescent="0.3">
      <c r="A313" s="15" t="s">
        <v>477</v>
      </c>
      <c r="B313" s="15" t="s">
        <v>3</v>
      </c>
      <c r="C313" s="67">
        <v>45655</v>
      </c>
      <c r="D313" s="15" t="s">
        <v>102</v>
      </c>
      <c r="E313" s="15" t="s">
        <v>103</v>
      </c>
      <c r="F313" s="15">
        <v>4274</v>
      </c>
      <c r="G313" s="15">
        <v>340</v>
      </c>
      <c r="H313" s="15">
        <v>281</v>
      </c>
      <c r="I313" s="15">
        <v>34192</v>
      </c>
      <c r="J313" s="15">
        <v>33446</v>
      </c>
      <c r="K313" s="15">
        <v>129</v>
      </c>
      <c r="L313" s="15" t="s">
        <v>99</v>
      </c>
      <c r="M313" s="15">
        <v>4895</v>
      </c>
      <c r="N313" s="15" t="s">
        <v>118</v>
      </c>
    </row>
    <row r="314" spans="1:14" x14ac:dyDescent="0.3">
      <c r="A314" s="15" t="s">
        <v>477</v>
      </c>
      <c r="B314" s="15" t="s">
        <v>3</v>
      </c>
      <c r="C314" s="67">
        <v>45655</v>
      </c>
      <c r="D314" s="15" t="s">
        <v>102</v>
      </c>
      <c r="E314" s="15" t="s">
        <v>103</v>
      </c>
      <c r="F314" s="15">
        <v>4274</v>
      </c>
      <c r="G314" s="15">
        <v>340</v>
      </c>
      <c r="H314" s="15">
        <v>281</v>
      </c>
      <c r="I314" s="15">
        <v>34192</v>
      </c>
      <c r="J314" s="15">
        <v>33446</v>
      </c>
      <c r="K314" s="15">
        <v>129</v>
      </c>
      <c r="L314" s="15" t="s">
        <v>99</v>
      </c>
      <c r="M314" s="15">
        <v>4895</v>
      </c>
      <c r="N314" s="15" t="s">
        <v>137</v>
      </c>
    </row>
    <row r="315" spans="1:14" x14ac:dyDescent="0.3">
      <c r="A315" s="15" t="s">
        <v>479</v>
      </c>
      <c r="B315" s="15" t="s">
        <v>4</v>
      </c>
      <c r="C315" s="67">
        <v>45467</v>
      </c>
      <c r="D315" s="15" t="s">
        <v>129</v>
      </c>
      <c r="E315" s="15" t="s">
        <v>130</v>
      </c>
      <c r="F315" s="15">
        <v>2949</v>
      </c>
      <c r="G315" s="15">
        <v>476</v>
      </c>
      <c r="H315" s="15">
        <v>403</v>
      </c>
      <c r="I315" s="15">
        <v>44235</v>
      </c>
      <c r="J315" s="15">
        <v>43705</v>
      </c>
      <c r="K315" s="15">
        <v>135</v>
      </c>
      <c r="L315" s="15" t="s">
        <v>82</v>
      </c>
      <c r="M315" s="15">
        <v>3828</v>
      </c>
      <c r="N315" s="15" t="s">
        <v>104</v>
      </c>
    </row>
    <row r="316" spans="1:14" x14ac:dyDescent="0.3">
      <c r="A316" s="15" t="s">
        <v>479</v>
      </c>
      <c r="B316" s="15" t="s">
        <v>4</v>
      </c>
      <c r="C316" s="67">
        <v>45467</v>
      </c>
      <c r="D316" s="15" t="s">
        <v>129</v>
      </c>
      <c r="E316" s="15" t="s">
        <v>130</v>
      </c>
      <c r="F316" s="15">
        <v>2949</v>
      </c>
      <c r="G316" s="15">
        <v>476</v>
      </c>
      <c r="H316" s="15">
        <v>403</v>
      </c>
      <c r="I316" s="15">
        <v>44235</v>
      </c>
      <c r="J316" s="15">
        <v>43705</v>
      </c>
      <c r="K316" s="15">
        <v>135</v>
      </c>
      <c r="L316" s="15" t="s">
        <v>82</v>
      </c>
      <c r="M316" s="15">
        <v>3828</v>
      </c>
      <c r="N316" s="15" t="s">
        <v>137</v>
      </c>
    </row>
    <row r="317" spans="1:14" x14ac:dyDescent="0.3">
      <c r="A317" s="15" t="s">
        <v>480</v>
      </c>
      <c r="B317" s="15" t="s">
        <v>3</v>
      </c>
      <c r="C317" s="67">
        <v>45735</v>
      </c>
      <c r="D317" s="15" t="s">
        <v>129</v>
      </c>
      <c r="E317" s="15" t="s">
        <v>130</v>
      </c>
      <c r="F317" s="15">
        <v>3160</v>
      </c>
      <c r="G317" s="15">
        <v>204</v>
      </c>
      <c r="H317" s="15">
        <v>297</v>
      </c>
      <c r="I317" s="15">
        <v>44240</v>
      </c>
      <c r="J317" s="15">
        <v>43666</v>
      </c>
      <c r="K317" s="15">
        <v>49</v>
      </c>
      <c r="L317" s="15" t="s">
        <v>82</v>
      </c>
      <c r="M317" s="15">
        <v>3661</v>
      </c>
      <c r="N317" s="15" t="s">
        <v>118</v>
      </c>
    </row>
    <row r="318" spans="1:14" x14ac:dyDescent="0.3">
      <c r="A318" s="15" t="s">
        <v>480</v>
      </c>
      <c r="B318" s="15" t="s">
        <v>3</v>
      </c>
      <c r="C318" s="67">
        <v>45735</v>
      </c>
      <c r="D318" s="15" t="s">
        <v>129</v>
      </c>
      <c r="E318" s="15" t="s">
        <v>130</v>
      </c>
      <c r="F318" s="15">
        <v>3160</v>
      </c>
      <c r="G318" s="15">
        <v>204</v>
      </c>
      <c r="H318" s="15">
        <v>297</v>
      </c>
      <c r="I318" s="15">
        <v>44240</v>
      </c>
      <c r="J318" s="15">
        <v>43666</v>
      </c>
      <c r="K318" s="15">
        <v>49</v>
      </c>
      <c r="L318" s="15" t="s">
        <v>82</v>
      </c>
      <c r="M318" s="15">
        <v>3661</v>
      </c>
      <c r="N318" s="15" t="s">
        <v>104</v>
      </c>
    </row>
    <row r="319" spans="1:14" x14ac:dyDescent="0.3">
      <c r="A319" s="15" t="s">
        <v>482</v>
      </c>
      <c r="B319" s="15" t="s">
        <v>4</v>
      </c>
      <c r="C319" s="67">
        <v>45707</v>
      </c>
      <c r="D319" s="15" t="s">
        <v>109</v>
      </c>
      <c r="E319" s="15" t="s">
        <v>110</v>
      </c>
      <c r="F319" s="15">
        <v>257</v>
      </c>
      <c r="G319" s="15">
        <v>966</v>
      </c>
      <c r="H319" s="15">
        <v>398</v>
      </c>
      <c r="I319" s="15">
        <v>3341</v>
      </c>
      <c r="J319" s="15">
        <v>2753</v>
      </c>
      <c r="K319" s="15">
        <v>287</v>
      </c>
      <c r="L319" s="15" t="s">
        <v>82</v>
      </c>
      <c r="M319" s="15">
        <v>1621</v>
      </c>
      <c r="N319" s="15" t="s">
        <v>104</v>
      </c>
    </row>
    <row r="320" spans="1:14" x14ac:dyDescent="0.3">
      <c r="A320" s="15" t="s">
        <v>482</v>
      </c>
      <c r="B320" s="15" t="s">
        <v>4</v>
      </c>
      <c r="C320" s="67">
        <v>45707</v>
      </c>
      <c r="D320" s="15" t="s">
        <v>109</v>
      </c>
      <c r="E320" s="15" t="s">
        <v>110</v>
      </c>
      <c r="F320" s="15">
        <v>257</v>
      </c>
      <c r="G320" s="15">
        <v>966</v>
      </c>
      <c r="H320" s="15">
        <v>398</v>
      </c>
      <c r="I320" s="15">
        <v>3341</v>
      </c>
      <c r="J320" s="15">
        <v>2753</v>
      </c>
      <c r="K320" s="15">
        <v>287</v>
      </c>
      <c r="L320" s="15" t="s">
        <v>82</v>
      </c>
      <c r="M320" s="15">
        <v>1621</v>
      </c>
      <c r="N320" s="15" t="s">
        <v>81</v>
      </c>
    </row>
    <row r="321" spans="1:14" x14ac:dyDescent="0.3">
      <c r="A321" s="15" t="s">
        <v>483</v>
      </c>
      <c r="B321" s="15" t="s">
        <v>3</v>
      </c>
      <c r="C321" s="67">
        <v>45491</v>
      </c>
      <c r="D321" s="15" t="s">
        <v>102</v>
      </c>
      <c r="E321" s="15" t="s">
        <v>103</v>
      </c>
      <c r="F321" s="15">
        <v>2120</v>
      </c>
      <c r="G321" s="15">
        <v>38</v>
      </c>
      <c r="H321" s="15">
        <v>212</v>
      </c>
      <c r="I321" s="15">
        <v>12720</v>
      </c>
      <c r="J321" s="15">
        <v>12564</v>
      </c>
      <c r="K321" s="15">
        <v>21</v>
      </c>
      <c r="L321" s="15" t="s">
        <v>82</v>
      </c>
      <c r="M321" s="15">
        <v>2370</v>
      </c>
      <c r="N321" s="15" t="s">
        <v>104</v>
      </c>
    </row>
    <row r="322" spans="1:14" x14ac:dyDescent="0.3">
      <c r="A322" s="15" t="s">
        <v>483</v>
      </c>
      <c r="B322" s="15" t="s">
        <v>3</v>
      </c>
      <c r="C322" s="67">
        <v>45491</v>
      </c>
      <c r="D322" s="15" t="s">
        <v>102</v>
      </c>
      <c r="E322" s="15" t="s">
        <v>103</v>
      </c>
      <c r="F322" s="15">
        <v>2120</v>
      </c>
      <c r="G322" s="15">
        <v>38</v>
      </c>
      <c r="H322" s="15">
        <v>212</v>
      </c>
      <c r="I322" s="15">
        <v>12720</v>
      </c>
      <c r="J322" s="15">
        <v>12564</v>
      </c>
      <c r="K322" s="15">
        <v>21</v>
      </c>
      <c r="L322" s="15" t="s">
        <v>82</v>
      </c>
      <c r="M322" s="15">
        <v>2370</v>
      </c>
      <c r="N322" s="15" t="s">
        <v>81</v>
      </c>
    </row>
    <row r="323" spans="1:14" x14ac:dyDescent="0.3">
      <c r="A323" s="15" t="s">
        <v>485</v>
      </c>
      <c r="B323" s="15" t="s">
        <v>4</v>
      </c>
      <c r="C323" s="67">
        <v>45719</v>
      </c>
      <c r="D323" s="15" t="s">
        <v>129</v>
      </c>
      <c r="E323" s="15" t="s">
        <v>130</v>
      </c>
      <c r="F323" s="15">
        <v>3874</v>
      </c>
      <c r="G323" s="15">
        <v>884</v>
      </c>
      <c r="H323" s="15">
        <v>19</v>
      </c>
      <c r="I323" s="15">
        <v>38740</v>
      </c>
      <c r="J323" s="15">
        <v>38552</v>
      </c>
      <c r="K323" s="15">
        <v>219</v>
      </c>
      <c r="L323" s="15" t="s">
        <v>115</v>
      </c>
      <c r="M323" s="15">
        <v>4777</v>
      </c>
      <c r="N323" s="15" t="s">
        <v>118</v>
      </c>
    </row>
    <row r="324" spans="1:14" x14ac:dyDescent="0.3">
      <c r="A324" s="15" t="s">
        <v>486</v>
      </c>
      <c r="B324" s="15" t="s">
        <v>1</v>
      </c>
      <c r="C324" s="67">
        <v>45778</v>
      </c>
      <c r="D324" s="15" t="s">
        <v>102</v>
      </c>
      <c r="E324" s="15" t="s">
        <v>103</v>
      </c>
      <c r="F324" s="15">
        <v>2696</v>
      </c>
      <c r="G324" s="15">
        <v>628</v>
      </c>
      <c r="H324" s="15">
        <v>443</v>
      </c>
      <c r="I324" s="15">
        <v>45832</v>
      </c>
      <c r="J324" s="15">
        <v>45632</v>
      </c>
      <c r="K324" s="15">
        <v>248</v>
      </c>
      <c r="L324" s="15" t="s">
        <v>99</v>
      </c>
      <c r="M324" s="15">
        <v>3767</v>
      </c>
      <c r="N324" s="15" t="s">
        <v>81</v>
      </c>
    </row>
    <row r="325" spans="1:14" x14ac:dyDescent="0.3">
      <c r="A325" s="15" t="s">
        <v>488</v>
      </c>
      <c r="B325" s="15" t="s">
        <v>2</v>
      </c>
      <c r="C325" s="67">
        <v>45649</v>
      </c>
      <c r="D325" s="15" t="s">
        <v>109</v>
      </c>
      <c r="E325" s="15" t="s">
        <v>110</v>
      </c>
      <c r="F325" s="15">
        <v>521</v>
      </c>
      <c r="G325" s="15">
        <v>746</v>
      </c>
      <c r="H325" s="15">
        <v>315</v>
      </c>
      <c r="I325" s="15">
        <v>4168</v>
      </c>
      <c r="J325" s="15">
        <v>3399</v>
      </c>
      <c r="K325" s="15">
        <v>282</v>
      </c>
      <c r="L325" s="15" t="s">
        <v>82</v>
      </c>
      <c r="M325" s="15">
        <v>1582</v>
      </c>
      <c r="N325" s="15" t="s">
        <v>81</v>
      </c>
    </row>
    <row r="326" spans="1:14" x14ac:dyDescent="0.3">
      <c r="A326" s="15" t="s">
        <v>489</v>
      </c>
      <c r="B326" s="15" t="s">
        <v>1</v>
      </c>
      <c r="C326" s="67">
        <v>45783</v>
      </c>
      <c r="D326" s="15" t="s">
        <v>109</v>
      </c>
      <c r="E326" s="15" t="s">
        <v>110</v>
      </c>
      <c r="F326" s="15">
        <v>4872</v>
      </c>
      <c r="G326" s="15">
        <v>925</v>
      </c>
      <c r="H326" s="15">
        <v>176</v>
      </c>
      <c r="I326" s="15">
        <v>82824</v>
      </c>
      <c r="J326" s="15">
        <v>82543</v>
      </c>
      <c r="K326" s="15">
        <v>89</v>
      </c>
      <c r="L326" s="15" t="s">
        <v>82</v>
      </c>
      <c r="M326" s="15">
        <v>5973</v>
      </c>
      <c r="N326" s="15" t="s">
        <v>81</v>
      </c>
    </row>
    <row r="327" spans="1:14" x14ac:dyDescent="0.3">
      <c r="A327" s="15" t="s">
        <v>489</v>
      </c>
      <c r="B327" s="15" t="s">
        <v>1</v>
      </c>
      <c r="C327" s="67">
        <v>45783</v>
      </c>
      <c r="D327" s="15" t="s">
        <v>109</v>
      </c>
      <c r="E327" s="15" t="s">
        <v>110</v>
      </c>
      <c r="F327" s="15">
        <v>4872</v>
      </c>
      <c r="G327" s="15">
        <v>925</v>
      </c>
      <c r="H327" s="15">
        <v>176</v>
      </c>
      <c r="I327" s="15">
        <v>82824</v>
      </c>
      <c r="J327" s="15">
        <v>82543</v>
      </c>
      <c r="K327" s="15">
        <v>89</v>
      </c>
      <c r="L327" s="15" t="s">
        <v>82</v>
      </c>
      <c r="M327" s="15">
        <v>5973</v>
      </c>
      <c r="N327" s="15" t="s">
        <v>104</v>
      </c>
    </row>
    <row r="328" spans="1:14" x14ac:dyDescent="0.3">
      <c r="A328" s="15" t="s">
        <v>491</v>
      </c>
      <c r="B328" s="15" t="s">
        <v>4</v>
      </c>
      <c r="C328" s="67">
        <v>45502</v>
      </c>
      <c r="D328" s="15" t="s">
        <v>94</v>
      </c>
      <c r="E328" s="15" t="s">
        <v>95</v>
      </c>
      <c r="F328" s="15">
        <v>1509</v>
      </c>
      <c r="G328" s="15">
        <v>88</v>
      </c>
      <c r="H328" s="15">
        <v>163</v>
      </c>
      <c r="I328" s="15">
        <v>30180</v>
      </c>
      <c r="J328" s="15">
        <v>29689</v>
      </c>
      <c r="K328" s="15">
        <v>119</v>
      </c>
      <c r="L328" s="15" t="s">
        <v>82</v>
      </c>
      <c r="M328" s="15">
        <v>1760</v>
      </c>
      <c r="N328" s="15" t="s">
        <v>104</v>
      </c>
    </row>
    <row r="329" spans="1:14" x14ac:dyDescent="0.3">
      <c r="A329" s="15" t="s">
        <v>492</v>
      </c>
      <c r="B329" s="15" t="s">
        <v>1</v>
      </c>
      <c r="C329" s="67">
        <v>45629</v>
      </c>
      <c r="D329" s="15" t="s">
        <v>109</v>
      </c>
      <c r="E329" s="15" t="s">
        <v>110</v>
      </c>
      <c r="F329" s="15">
        <v>4606</v>
      </c>
      <c r="G329" s="15">
        <v>931</v>
      </c>
      <c r="H329" s="15">
        <v>230</v>
      </c>
      <c r="I329" s="15">
        <v>92120</v>
      </c>
      <c r="J329" s="15">
        <v>91440</v>
      </c>
      <c r="K329" s="15">
        <v>56</v>
      </c>
      <c r="L329" s="15" t="s">
        <v>99</v>
      </c>
      <c r="M329" s="15">
        <v>5767</v>
      </c>
      <c r="N329" s="15" t="s">
        <v>137</v>
      </c>
    </row>
    <row r="330" spans="1:14" x14ac:dyDescent="0.3">
      <c r="A330" s="15" t="s">
        <v>492</v>
      </c>
      <c r="B330" s="15" t="s">
        <v>1</v>
      </c>
      <c r="C330" s="67">
        <v>45629</v>
      </c>
      <c r="D330" s="15" t="s">
        <v>109</v>
      </c>
      <c r="E330" s="15" t="s">
        <v>110</v>
      </c>
      <c r="F330" s="15">
        <v>4606</v>
      </c>
      <c r="G330" s="15">
        <v>931</v>
      </c>
      <c r="H330" s="15">
        <v>230</v>
      </c>
      <c r="I330" s="15">
        <v>92120</v>
      </c>
      <c r="J330" s="15">
        <v>91440</v>
      </c>
      <c r="K330" s="15">
        <v>56</v>
      </c>
      <c r="L330" s="15" t="s">
        <v>99</v>
      </c>
      <c r="M330" s="15">
        <v>5767</v>
      </c>
      <c r="N330" s="15" t="s">
        <v>87</v>
      </c>
    </row>
    <row r="331" spans="1:14" x14ac:dyDescent="0.3">
      <c r="A331" s="15" t="s">
        <v>493</v>
      </c>
      <c r="B331" s="15" t="s">
        <v>1</v>
      </c>
      <c r="C331" s="67">
        <v>45454</v>
      </c>
      <c r="D331" s="15" t="s">
        <v>102</v>
      </c>
      <c r="E331" s="15" t="s">
        <v>103</v>
      </c>
      <c r="F331" s="15">
        <v>1869</v>
      </c>
      <c r="G331" s="15">
        <v>453</v>
      </c>
      <c r="H331" s="15">
        <v>490</v>
      </c>
      <c r="I331" s="15">
        <v>14952</v>
      </c>
      <c r="J331" s="15">
        <v>14309</v>
      </c>
      <c r="K331" s="15">
        <v>275</v>
      </c>
      <c r="L331" s="15" t="s">
        <v>82</v>
      </c>
      <c r="M331" s="15">
        <v>2812</v>
      </c>
      <c r="N331" s="15" t="s">
        <v>137</v>
      </c>
    </row>
    <row r="332" spans="1:14" x14ac:dyDescent="0.3">
      <c r="A332" s="15" t="s">
        <v>493</v>
      </c>
      <c r="B332" s="15" t="s">
        <v>1</v>
      </c>
      <c r="C332" s="67">
        <v>45454</v>
      </c>
      <c r="D332" s="15" t="s">
        <v>102</v>
      </c>
      <c r="E332" s="15" t="s">
        <v>103</v>
      </c>
      <c r="F332" s="15">
        <v>1869</v>
      </c>
      <c r="G332" s="15">
        <v>453</v>
      </c>
      <c r="H332" s="15">
        <v>490</v>
      </c>
      <c r="I332" s="15">
        <v>14952</v>
      </c>
      <c r="J332" s="15">
        <v>14309</v>
      </c>
      <c r="K332" s="15">
        <v>275</v>
      </c>
      <c r="L332" s="15" t="s">
        <v>82</v>
      </c>
      <c r="M332" s="15">
        <v>2812</v>
      </c>
      <c r="N332" s="15" t="s">
        <v>118</v>
      </c>
    </row>
    <row r="333" spans="1:14" x14ac:dyDescent="0.3">
      <c r="A333" s="15" t="s">
        <v>494</v>
      </c>
      <c r="B333" s="15" t="s">
        <v>3</v>
      </c>
      <c r="C333" s="67">
        <v>45685</v>
      </c>
      <c r="D333" s="15" t="s">
        <v>79</v>
      </c>
      <c r="E333" s="15" t="s">
        <v>80</v>
      </c>
      <c r="F333" s="15">
        <v>1188</v>
      </c>
      <c r="G333" s="15">
        <v>470</v>
      </c>
      <c r="H333" s="15">
        <v>174</v>
      </c>
      <c r="I333" s="15">
        <v>7128</v>
      </c>
      <c r="J333" s="15">
        <v>6145</v>
      </c>
      <c r="K333" s="15">
        <v>270</v>
      </c>
      <c r="L333" s="15" t="s">
        <v>88</v>
      </c>
      <c r="M333" s="15">
        <v>1832</v>
      </c>
      <c r="N333" s="15" t="s">
        <v>118</v>
      </c>
    </row>
    <row r="334" spans="1:14" x14ac:dyDescent="0.3">
      <c r="A334" s="15" t="s">
        <v>494</v>
      </c>
      <c r="B334" s="15" t="s">
        <v>3</v>
      </c>
      <c r="C334" s="67">
        <v>45685</v>
      </c>
      <c r="D334" s="15" t="s">
        <v>79</v>
      </c>
      <c r="E334" s="15" t="s">
        <v>80</v>
      </c>
      <c r="F334" s="15">
        <v>1188</v>
      </c>
      <c r="G334" s="15">
        <v>470</v>
      </c>
      <c r="H334" s="15">
        <v>174</v>
      </c>
      <c r="I334" s="15">
        <v>7128</v>
      </c>
      <c r="J334" s="15">
        <v>6145</v>
      </c>
      <c r="K334" s="15">
        <v>270</v>
      </c>
      <c r="L334" s="15" t="s">
        <v>88</v>
      </c>
      <c r="M334" s="15">
        <v>1832</v>
      </c>
      <c r="N334" s="15" t="s">
        <v>87</v>
      </c>
    </row>
    <row r="335" spans="1:14" x14ac:dyDescent="0.3">
      <c r="A335" s="15" t="s">
        <v>495</v>
      </c>
      <c r="B335" s="15" t="s">
        <v>2</v>
      </c>
      <c r="C335" s="67">
        <v>45445</v>
      </c>
      <c r="D335" s="15" t="s">
        <v>94</v>
      </c>
      <c r="E335" s="15" t="s">
        <v>95</v>
      </c>
      <c r="F335" s="15">
        <v>84</v>
      </c>
      <c r="G335" s="15">
        <v>897</v>
      </c>
      <c r="H335" s="15">
        <v>85</v>
      </c>
      <c r="I335" s="15">
        <v>588</v>
      </c>
      <c r="J335" s="15">
        <v>8</v>
      </c>
      <c r="K335" s="15">
        <v>12</v>
      </c>
      <c r="L335" s="15" t="s">
        <v>88</v>
      </c>
      <c r="M335" s="15">
        <v>1066</v>
      </c>
      <c r="N335" s="15" t="s">
        <v>118</v>
      </c>
    </row>
    <row r="336" spans="1:14" x14ac:dyDescent="0.3">
      <c r="A336" s="15" t="s">
        <v>496</v>
      </c>
      <c r="B336" s="15" t="s">
        <v>1</v>
      </c>
      <c r="C336" s="67">
        <v>45739</v>
      </c>
      <c r="D336" s="15" t="s">
        <v>129</v>
      </c>
      <c r="E336" s="15" t="s">
        <v>130</v>
      </c>
      <c r="F336" s="15">
        <v>4453</v>
      </c>
      <c r="G336" s="15">
        <v>111</v>
      </c>
      <c r="H336" s="15">
        <v>420</v>
      </c>
      <c r="I336" s="15">
        <v>31171</v>
      </c>
      <c r="J336" s="15">
        <v>30565</v>
      </c>
      <c r="K336" s="15">
        <v>23</v>
      </c>
      <c r="L336" s="15" t="s">
        <v>115</v>
      </c>
      <c r="M336" s="15">
        <v>4984</v>
      </c>
      <c r="N336" s="15" t="s">
        <v>104</v>
      </c>
    </row>
    <row r="337" spans="1:14" x14ac:dyDescent="0.3">
      <c r="A337" s="15" t="s">
        <v>496</v>
      </c>
      <c r="B337" s="15" t="s">
        <v>1</v>
      </c>
      <c r="C337" s="67">
        <v>45739</v>
      </c>
      <c r="D337" s="15" t="s">
        <v>129</v>
      </c>
      <c r="E337" s="15" t="s">
        <v>130</v>
      </c>
      <c r="F337" s="15">
        <v>4453</v>
      </c>
      <c r="G337" s="15">
        <v>111</v>
      </c>
      <c r="H337" s="15">
        <v>420</v>
      </c>
      <c r="I337" s="15">
        <v>31171</v>
      </c>
      <c r="J337" s="15">
        <v>30565</v>
      </c>
      <c r="K337" s="15">
        <v>23</v>
      </c>
      <c r="L337" s="15" t="s">
        <v>115</v>
      </c>
      <c r="M337" s="15">
        <v>4984</v>
      </c>
      <c r="N337" s="15" t="s">
        <v>87</v>
      </c>
    </row>
    <row r="338" spans="1:14" x14ac:dyDescent="0.3">
      <c r="A338" s="15" t="s">
        <v>497</v>
      </c>
      <c r="B338" s="15" t="s">
        <v>1</v>
      </c>
      <c r="C338" s="67">
        <v>45573</v>
      </c>
      <c r="D338" s="15" t="s">
        <v>79</v>
      </c>
      <c r="E338" s="15" t="s">
        <v>80</v>
      </c>
      <c r="F338" s="15">
        <v>1814</v>
      </c>
      <c r="G338" s="15">
        <v>653</v>
      </c>
      <c r="H338" s="15">
        <v>363</v>
      </c>
      <c r="I338" s="15">
        <v>25396</v>
      </c>
      <c r="J338" s="15">
        <v>25286</v>
      </c>
      <c r="K338" s="15">
        <v>39</v>
      </c>
      <c r="L338" s="15" t="s">
        <v>82</v>
      </c>
      <c r="M338" s="15">
        <v>2830</v>
      </c>
      <c r="N338" s="15" t="s">
        <v>118</v>
      </c>
    </row>
    <row r="339" spans="1:14" x14ac:dyDescent="0.3">
      <c r="A339" s="15" t="s">
        <v>499</v>
      </c>
      <c r="B339" s="15" t="s">
        <v>3</v>
      </c>
      <c r="C339" s="67">
        <v>45608</v>
      </c>
      <c r="D339" s="15" t="s">
        <v>109</v>
      </c>
      <c r="E339" s="15" t="s">
        <v>110</v>
      </c>
      <c r="F339" s="15">
        <v>3338</v>
      </c>
      <c r="G339" s="15">
        <v>277</v>
      </c>
      <c r="H339" s="15">
        <v>118</v>
      </c>
      <c r="I339" s="15">
        <v>60084</v>
      </c>
      <c r="J339" s="15">
        <v>59842</v>
      </c>
      <c r="K339" s="15">
        <v>252</v>
      </c>
      <c r="L339" s="15" t="s">
        <v>82</v>
      </c>
      <c r="M339" s="15">
        <v>3733</v>
      </c>
      <c r="N339" s="15" t="s">
        <v>118</v>
      </c>
    </row>
    <row r="340" spans="1:14" x14ac:dyDescent="0.3">
      <c r="A340" s="15" t="s">
        <v>500</v>
      </c>
      <c r="B340" s="15" t="s">
        <v>1</v>
      </c>
      <c r="C340" s="67">
        <v>45790</v>
      </c>
      <c r="D340" s="15" t="s">
        <v>109</v>
      </c>
      <c r="E340" s="15" t="s">
        <v>110</v>
      </c>
      <c r="F340" s="15">
        <v>602</v>
      </c>
      <c r="G340" s="15">
        <v>594</v>
      </c>
      <c r="H340" s="15">
        <v>156</v>
      </c>
      <c r="I340" s="15">
        <v>4214</v>
      </c>
      <c r="J340" s="15">
        <v>3363</v>
      </c>
      <c r="K340" s="15">
        <v>164</v>
      </c>
      <c r="L340" s="15" t="s">
        <v>99</v>
      </c>
      <c r="M340" s="15">
        <v>1352</v>
      </c>
      <c r="N340" s="15" t="s">
        <v>81</v>
      </c>
    </row>
    <row r="341" spans="1:14" x14ac:dyDescent="0.3">
      <c r="A341" s="15" t="s">
        <v>502</v>
      </c>
      <c r="B341" s="15" t="s">
        <v>3</v>
      </c>
      <c r="C341" s="67">
        <v>45463</v>
      </c>
      <c r="D341" s="15" t="s">
        <v>102</v>
      </c>
      <c r="E341" s="15" t="s">
        <v>103</v>
      </c>
      <c r="F341" s="15">
        <v>4672</v>
      </c>
      <c r="G341" s="15">
        <v>325</v>
      </c>
      <c r="H341" s="15">
        <v>32</v>
      </c>
      <c r="I341" s="15">
        <v>88768</v>
      </c>
      <c r="J341" s="15">
        <v>87833</v>
      </c>
      <c r="K341" s="15">
        <v>118</v>
      </c>
      <c r="L341" s="15" t="s">
        <v>99</v>
      </c>
      <c r="M341" s="15">
        <v>5029</v>
      </c>
      <c r="N341" s="15" t="s">
        <v>137</v>
      </c>
    </row>
    <row r="342" spans="1:14" x14ac:dyDescent="0.3">
      <c r="A342" s="15" t="s">
        <v>502</v>
      </c>
      <c r="B342" s="15" t="s">
        <v>3</v>
      </c>
      <c r="C342" s="67">
        <v>45463</v>
      </c>
      <c r="D342" s="15" t="s">
        <v>102</v>
      </c>
      <c r="E342" s="15" t="s">
        <v>103</v>
      </c>
      <c r="F342" s="15">
        <v>4672</v>
      </c>
      <c r="G342" s="15">
        <v>325</v>
      </c>
      <c r="H342" s="15">
        <v>32</v>
      </c>
      <c r="I342" s="15">
        <v>88768</v>
      </c>
      <c r="J342" s="15">
        <v>87833</v>
      </c>
      <c r="K342" s="15">
        <v>118</v>
      </c>
      <c r="L342" s="15" t="s">
        <v>99</v>
      </c>
      <c r="M342" s="15">
        <v>5029</v>
      </c>
      <c r="N342" s="15" t="s">
        <v>81</v>
      </c>
    </row>
    <row r="343" spans="1:14" x14ac:dyDescent="0.3">
      <c r="A343" s="15" t="s">
        <v>503</v>
      </c>
      <c r="B343" s="15" t="s">
        <v>2</v>
      </c>
      <c r="C343" s="67">
        <v>45511</v>
      </c>
      <c r="D343" s="15" t="s">
        <v>102</v>
      </c>
      <c r="E343" s="15" t="s">
        <v>103</v>
      </c>
      <c r="F343" s="15">
        <v>1741</v>
      </c>
      <c r="G343" s="15">
        <v>164</v>
      </c>
      <c r="H343" s="15">
        <v>318</v>
      </c>
      <c r="I343" s="15">
        <v>8705</v>
      </c>
      <c r="J343" s="15">
        <v>8272</v>
      </c>
      <c r="K343" s="15">
        <v>121</v>
      </c>
      <c r="L343" s="15" t="s">
        <v>88</v>
      </c>
      <c r="M343" s="15">
        <v>2223</v>
      </c>
      <c r="N343" s="15" t="s">
        <v>81</v>
      </c>
    </row>
    <row r="344" spans="1:14" x14ac:dyDescent="0.3">
      <c r="A344" s="15" t="s">
        <v>505</v>
      </c>
      <c r="B344" s="15" t="s">
        <v>2</v>
      </c>
      <c r="C344" s="67">
        <v>45455</v>
      </c>
      <c r="D344" s="15" t="s">
        <v>85</v>
      </c>
      <c r="E344" s="15" t="s">
        <v>86</v>
      </c>
      <c r="F344" s="15">
        <v>246</v>
      </c>
      <c r="G344" s="15">
        <v>149</v>
      </c>
      <c r="H344" s="15">
        <v>130</v>
      </c>
      <c r="I344" s="15">
        <v>4674</v>
      </c>
      <c r="J344" s="15">
        <v>4390</v>
      </c>
      <c r="K344" s="15">
        <v>217</v>
      </c>
      <c r="L344" s="15" t="s">
        <v>88</v>
      </c>
      <c r="M344" s="15">
        <v>525</v>
      </c>
      <c r="N344" s="15" t="s">
        <v>104</v>
      </c>
    </row>
    <row r="345" spans="1:14" x14ac:dyDescent="0.3">
      <c r="A345" s="15" t="s">
        <v>505</v>
      </c>
      <c r="B345" s="15" t="s">
        <v>2</v>
      </c>
      <c r="C345" s="67">
        <v>45455</v>
      </c>
      <c r="D345" s="15" t="s">
        <v>85</v>
      </c>
      <c r="E345" s="15" t="s">
        <v>86</v>
      </c>
      <c r="F345" s="15">
        <v>246</v>
      </c>
      <c r="G345" s="15">
        <v>149</v>
      </c>
      <c r="H345" s="15">
        <v>130</v>
      </c>
      <c r="I345" s="15">
        <v>4674</v>
      </c>
      <c r="J345" s="15">
        <v>4390</v>
      </c>
      <c r="K345" s="15">
        <v>217</v>
      </c>
      <c r="L345" s="15" t="s">
        <v>88</v>
      </c>
      <c r="M345" s="15">
        <v>525</v>
      </c>
      <c r="N345" s="15" t="s">
        <v>137</v>
      </c>
    </row>
    <row r="346" spans="1:14" x14ac:dyDescent="0.3">
      <c r="A346" s="15" t="s">
        <v>507</v>
      </c>
      <c r="B346" s="15" t="s">
        <v>2</v>
      </c>
      <c r="C346" s="67">
        <v>45474</v>
      </c>
      <c r="D346" s="15" t="s">
        <v>94</v>
      </c>
      <c r="E346" s="15" t="s">
        <v>95</v>
      </c>
      <c r="F346" s="15">
        <v>4808</v>
      </c>
      <c r="G346" s="15">
        <v>772</v>
      </c>
      <c r="H346" s="15">
        <v>320</v>
      </c>
      <c r="I346" s="15">
        <v>72120</v>
      </c>
      <c r="J346" s="15">
        <v>71696</v>
      </c>
      <c r="K346" s="15">
        <v>195</v>
      </c>
      <c r="L346" s="15" t="s">
        <v>115</v>
      </c>
      <c r="M346" s="15">
        <v>5900</v>
      </c>
      <c r="N346" s="15" t="s">
        <v>104</v>
      </c>
    </row>
    <row r="347" spans="1:14" x14ac:dyDescent="0.3">
      <c r="A347" s="15" t="s">
        <v>507</v>
      </c>
      <c r="B347" s="15" t="s">
        <v>2</v>
      </c>
      <c r="C347" s="67">
        <v>45474</v>
      </c>
      <c r="D347" s="15" t="s">
        <v>94</v>
      </c>
      <c r="E347" s="15" t="s">
        <v>95</v>
      </c>
      <c r="F347" s="15">
        <v>4808</v>
      </c>
      <c r="G347" s="15">
        <v>772</v>
      </c>
      <c r="H347" s="15">
        <v>320</v>
      </c>
      <c r="I347" s="15">
        <v>72120</v>
      </c>
      <c r="J347" s="15">
        <v>71696</v>
      </c>
      <c r="K347" s="15">
        <v>195</v>
      </c>
      <c r="L347" s="15" t="s">
        <v>115</v>
      </c>
      <c r="M347" s="15">
        <v>5900</v>
      </c>
      <c r="N347" s="15" t="s">
        <v>81</v>
      </c>
    </row>
    <row r="348" spans="1:14" x14ac:dyDescent="0.3">
      <c r="A348" s="15" t="s">
        <v>509</v>
      </c>
      <c r="B348" s="15" t="s">
        <v>2</v>
      </c>
      <c r="C348" s="67">
        <v>45476</v>
      </c>
      <c r="D348" s="15" t="s">
        <v>102</v>
      </c>
      <c r="E348" s="15" t="s">
        <v>103</v>
      </c>
      <c r="F348" s="15">
        <v>4799</v>
      </c>
      <c r="G348" s="15">
        <v>694</v>
      </c>
      <c r="H348" s="15">
        <v>289</v>
      </c>
      <c r="I348" s="15">
        <v>43191</v>
      </c>
      <c r="J348" s="15">
        <v>42228</v>
      </c>
      <c r="K348" s="15">
        <v>118</v>
      </c>
      <c r="L348" s="15" t="s">
        <v>88</v>
      </c>
      <c r="M348" s="15">
        <v>5782</v>
      </c>
      <c r="N348" s="15" t="s">
        <v>104</v>
      </c>
    </row>
    <row r="349" spans="1:14" x14ac:dyDescent="0.3">
      <c r="A349" s="15" t="s">
        <v>510</v>
      </c>
      <c r="B349" s="15" t="s">
        <v>1</v>
      </c>
      <c r="C349" s="67">
        <v>45488</v>
      </c>
      <c r="D349" s="15" t="s">
        <v>79</v>
      </c>
      <c r="E349" s="15" t="s">
        <v>80</v>
      </c>
      <c r="F349" s="15">
        <v>3663</v>
      </c>
      <c r="G349" s="15">
        <v>17</v>
      </c>
      <c r="H349" s="15">
        <v>295</v>
      </c>
      <c r="I349" s="15">
        <v>51282</v>
      </c>
      <c r="J349" s="15">
        <v>50567</v>
      </c>
      <c r="K349" s="15">
        <v>84</v>
      </c>
      <c r="L349" s="15" t="s">
        <v>82</v>
      </c>
      <c r="M349" s="15">
        <v>3975</v>
      </c>
      <c r="N349" s="15" t="s">
        <v>81</v>
      </c>
    </row>
    <row r="350" spans="1:14" x14ac:dyDescent="0.3">
      <c r="A350" s="15" t="s">
        <v>511</v>
      </c>
      <c r="B350" s="15" t="s">
        <v>2</v>
      </c>
      <c r="C350" s="67">
        <v>45778</v>
      </c>
      <c r="D350" s="15" t="s">
        <v>85</v>
      </c>
      <c r="E350" s="15" t="s">
        <v>86</v>
      </c>
      <c r="F350" s="15">
        <v>1430</v>
      </c>
      <c r="G350" s="15">
        <v>376</v>
      </c>
      <c r="H350" s="15">
        <v>33</v>
      </c>
      <c r="I350" s="15">
        <v>21450</v>
      </c>
      <c r="J350" s="15">
        <v>20509</v>
      </c>
      <c r="K350" s="15">
        <v>251</v>
      </c>
      <c r="L350" s="15" t="s">
        <v>99</v>
      </c>
      <c r="M350" s="15">
        <v>1839</v>
      </c>
      <c r="N350" s="15" t="s">
        <v>137</v>
      </c>
    </row>
    <row r="351" spans="1:14" x14ac:dyDescent="0.3">
      <c r="A351" s="15" t="s">
        <v>512</v>
      </c>
      <c r="B351" s="15" t="s">
        <v>3</v>
      </c>
      <c r="C351" s="67">
        <v>45776</v>
      </c>
      <c r="D351" s="15" t="s">
        <v>94</v>
      </c>
      <c r="E351" s="15" t="s">
        <v>95</v>
      </c>
      <c r="F351" s="15">
        <v>249</v>
      </c>
      <c r="G351" s="15">
        <v>592</v>
      </c>
      <c r="H351" s="15">
        <v>230</v>
      </c>
      <c r="I351" s="15">
        <v>1494</v>
      </c>
      <c r="J351" s="15">
        <v>1044</v>
      </c>
      <c r="K351" s="15">
        <v>201</v>
      </c>
      <c r="L351" s="15" t="s">
        <v>115</v>
      </c>
      <c r="M351" s="15">
        <v>1071</v>
      </c>
      <c r="N351" s="15" t="s">
        <v>87</v>
      </c>
    </row>
    <row r="352" spans="1:14" x14ac:dyDescent="0.3">
      <c r="A352" s="15" t="s">
        <v>512</v>
      </c>
      <c r="B352" s="15" t="s">
        <v>3</v>
      </c>
      <c r="C352" s="67">
        <v>45776</v>
      </c>
      <c r="D352" s="15" t="s">
        <v>94</v>
      </c>
      <c r="E352" s="15" t="s">
        <v>95</v>
      </c>
      <c r="F352" s="15">
        <v>249</v>
      </c>
      <c r="G352" s="15">
        <v>592</v>
      </c>
      <c r="H352" s="15">
        <v>230</v>
      </c>
      <c r="I352" s="15">
        <v>1494</v>
      </c>
      <c r="J352" s="15">
        <v>1044</v>
      </c>
      <c r="K352" s="15">
        <v>201</v>
      </c>
      <c r="L352" s="15" t="s">
        <v>115</v>
      </c>
      <c r="M352" s="15">
        <v>1071</v>
      </c>
      <c r="N352" s="15" t="s">
        <v>104</v>
      </c>
    </row>
    <row r="353" spans="1:14" x14ac:dyDescent="0.3">
      <c r="A353" s="15" t="s">
        <v>514</v>
      </c>
      <c r="B353" s="15" t="s">
        <v>1</v>
      </c>
      <c r="C353" s="67">
        <v>45724</v>
      </c>
      <c r="D353" s="15" t="s">
        <v>109</v>
      </c>
      <c r="E353" s="15" t="s">
        <v>110</v>
      </c>
      <c r="F353" s="15">
        <v>2382</v>
      </c>
      <c r="G353" s="15">
        <v>265</v>
      </c>
      <c r="H353" s="15">
        <v>134</v>
      </c>
      <c r="I353" s="15">
        <v>38112</v>
      </c>
      <c r="J353" s="15">
        <v>37437</v>
      </c>
      <c r="K353" s="15">
        <v>249</v>
      </c>
      <c r="L353" s="15" t="s">
        <v>88</v>
      </c>
      <c r="M353" s="15">
        <v>2781</v>
      </c>
      <c r="N353" s="15" t="s">
        <v>137</v>
      </c>
    </row>
    <row r="354" spans="1:14" x14ac:dyDescent="0.3">
      <c r="A354" s="15" t="s">
        <v>514</v>
      </c>
      <c r="B354" s="15" t="s">
        <v>1</v>
      </c>
      <c r="C354" s="67">
        <v>45724</v>
      </c>
      <c r="D354" s="15" t="s">
        <v>109</v>
      </c>
      <c r="E354" s="15" t="s">
        <v>110</v>
      </c>
      <c r="F354" s="15">
        <v>2382</v>
      </c>
      <c r="G354" s="15">
        <v>265</v>
      </c>
      <c r="H354" s="15">
        <v>134</v>
      </c>
      <c r="I354" s="15">
        <v>38112</v>
      </c>
      <c r="J354" s="15">
        <v>37437</v>
      </c>
      <c r="K354" s="15">
        <v>249</v>
      </c>
      <c r="L354" s="15" t="s">
        <v>88</v>
      </c>
      <c r="M354" s="15">
        <v>2781</v>
      </c>
      <c r="N354" s="15" t="s">
        <v>104</v>
      </c>
    </row>
    <row r="355" spans="1:14" x14ac:dyDescent="0.3">
      <c r="A355" s="15" t="s">
        <v>515</v>
      </c>
      <c r="B355" s="15" t="s">
        <v>1</v>
      </c>
      <c r="C355" s="67">
        <v>45444</v>
      </c>
      <c r="D355" s="15" t="s">
        <v>85</v>
      </c>
      <c r="E355" s="15" t="s">
        <v>86</v>
      </c>
      <c r="F355" s="15">
        <v>1272</v>
      </c>
      <c r="G355" s="15">
        <v>465</v>
      </c>
      <c r="H355" s="15">
        <v>99</v>
      </c>
      <c r="I355" s="15">
        <v>24168</v>
      </c>
      <c r="J355" s="15">
        <v>23719</v>
      </c>
      <c r="K355" s="15">
        <v>42</v>
      </c>
      <c r="L355" s="15" t="s">
        <v>88</v>
      </c>
      <c r="M355" s="15">
        <v>1836</v>
      </c>
      <c r="N355" s="15" t="s">
        <v>87</v>
      </c>
    </row>
    <row r="356" spans="1:14" x14ac:dyDescent="0.3">
      <c r="A356" s="15" t="s">
        <v>515</v>
      </c>
      <c r="B356" s="15" t="s">
        <v>1</v>
      </c>
      <c r="C356" s="67">
        <v>45444</v>
      </c>
      <c r="D356" s="15" t="s">
        <v>85</v>
      </c>
      <c r="E356" s="15" t="s">
        <v>86</v>
      </c>
      <c r="F356" s="15">
        <v>1272</v>
      </c>
      <c r="G356" s="15">
        <v>465</v>
      </c>
      <c r="H356" s="15">
        <v>99</v>
      </c>
      <c r="I356" s="15">
        <v>24168</v>
      </c>
      <c r="J356" s="15">
        <v>23719</v>
      </c>
      <c r="K356" s="15">
        <v>42</v>
      </c>
      <c r="L356" s="15" t="s">
        <v>88</v>
      </c>
      <c r="M356" s="15">
        <v>1836</v>
      </c>
      <c r="N356" s="15" t="s">
        <v>137</v>
      </c>
    </row>
    <row r="357" spans="1:14" x14ac:dyDescent="0.3">
      <c r="A357" s="15" t="s">
        <v>517</v>
      </c>
      <c r="B357" s="15" t="s">
        <v>1</v>
      </c>
      <c r="C357" s="67">
        <v>45648</v>
      </c>
      <c r="D357" s="15" t="s">
        <v>109</v>
      </c>
      <c r="E357" s="15" t="s">
        <v>110</v>
      </c>
      <c r="F357" s="15">
        <v>3196</v>
      </c>
      <c r="G357" s="15">
        <v>941</v>
      </c>
      <c r="H357" s="15">
        <v>376</v>
      </c>
      <c r="I357" s="15">
        <v>35156</v>
      </c>
      <c r="J357" s="15">
        <v>34444</v>
      </c>
      <c r="K357" s="15">
        <v>241</v>
      </c>
      <c r="L357" s="15" t="s">
        <v>115</v>
      </c>
      <c r="M357" s="15">
        <v>4513</v>
      </c>
      <c r="N357" s="15" t="s">
        <v>118</v>
      </c>
    </row>
    <row r="358" spans="1:14" x14ac:dyDescent="0.3">
      <c r="A358" s="15" t="s">
        <v>517</v>
      </c>
      <c r="B358" s="15" t="s">
        <v>1</v>
      </c>
      <c r="C358" s="67">
        <v>45648</v>
      </c>
      <c r="D358" s="15" t="s">
        <v>109</v>
      </c>
      <c r="E358" s="15" t="s">
        <v>110</v>
      </c>
      <c r="F358" s="15">
        <v>3196</v>
      </c>
      <c r="G358" s="15">
        <v>941</v>
      </c>
      <c r="H358" s="15">
        <v>376</v>
      </c>
      <c r="I358" s="15">
        <v>35156</v>
      </c>
      <c r="J358" s="15">
        <v>34444</v>
      </c>
      <c r="K358" s="15">
        <v>241</v>
      </c>
      <c r="L358" s="15" t="s">
        <v>115</v>
      </c>
      <c r="M358" s="15">
        <v>4513</v>
      </c>
      <c r="N358" s="15" t="s">
        <v>104</v>
      </c>
    </row>
    <row r="359" spans="1:14" x14ac:dyDescent="0.3">
      <c r="A359" s="15" t="s">
        <v>518</v>
      </c>
      <c r="B359" s="15" t="s">
        <v>1</v>
      </c>
      <c r="C359" s="67">
        <v>45523</v>
      </c>
      <c r="D359" s="15" t="s">
        <v>85</v>
      </c>
      <c r="E359" s="15" t="s">
        <v>86</v>
      </c>
      <c r="F359" s="15">
        <v>1257</v>
      </c>
      <c r="G359" s="15">
        <v>19</v>
      </c>
      <c r="H359" s="15">
        <v>351</v>
      </c>
      <c r="I359" s="15">
        <v>12570</v>
      </c>
      <c r="J359" s="15">
        <v>11660</v>
      </c>
      <c r="K359" s="15">
        <v>194</v>
      </c>
      <c r="L359" s="15" t="s">
        <v>82</v>
      </c>
      <c r="M359" s="15">
        <v>1627</v>
      </c>
      <c r="N359" s="15" t="s">
        <v>118</v>
      </c>
    </row>
    <row r="360" spans="1:14" x14ac:dyDescent="0.3">
      <c r="A360" s="15" t="s">
        <v>519</v>
      </c>
      <c r="B360" s="15" t="s">
        <v>2</v>
      </c>
      <c r="C360" s="67">
        <v>45587</v>
      </c>
      <c r="D360" s="15" t="s">
        <v>94</v>
      </c>
      <c r="E360" s="15" t="s">
        <v>95</v>
      </c>
      <c r="F360" s="15">
        <v>3770</v>
      </c>
      <c r="G360" s="15">
        <v>917</v>
      </c>
      <c r="H360" s="15">
        <v>129</v>
      </c>
      <c r="I360" s="15">
        <v>71630</v>
      </c>
      <c r="J360" s="15">
        <v>71322</v>
      </c>
      <c r="K360" s="15">
        <v>76</v>
      </c>
      <c r="L360" s="15" t="s">
        <v>115</v>
      </c>
      <c r="M360" s="15">
        <v>4816</v>
      </c>
      <c r="N360" s="15" t="s">
        <v>81</v>
      </c>
    </row>
    <row r="361" spans="1:14" x14ac:dyDescent="0.3">
      <c r="A361" s="15" t="s">
        <v>519</v>
      </c>
      <c r="B361" s="15" t="s">
        <v>2</v>
      </c>
      <c r="C361" s="67">
        <v>45587</v>
      </c>
      <c r="D361" s="15" t="s">
        <v>94</v>
      </c>
      <c r="E361" s="15" t="s">
        <v>95</v>
      </c>
      <c r="F361" s="15">
        <v>3770</v>
      </c>
      <c r="G361" s="15">
        <v>917</v>
      </c>
      <c r="H361" s="15">
        <v>129</v>
      </c>
      <c r="I361" s="15">
        <v>71630</v>
      </c>
      <c r="J361" s="15">
        <v>71322</v>
      </c>
      <c r="K361" s="15">
        <v>76</v>
      </c>
      <c r="L361" s="15" t="s">
        <v>115</v>
      </c>
      <c r="M361" s="15">
        <v>4816</v>
      </c>
      <c r="N361" s="15" t="s">
        <v>104</v>
      </c>
    </row>
    <row r="362" spans="1:14" x14ac:dyDescent="0.3">
      <c r="A362" s="15" t="s">
        <v>520</v>
      </c>
      <c r="B362" s="15" t="s">
        <v>3</v>
      </c>
      <c r="C362" s="67">
        <v>45489</v>
      </c>
      <c r="D362" s="15" t="s">
        <v>85</v>
      </c>
      <c r="E362" s="15" t="s">
        <v>86</v>
      </c>
      <c r="F362" s="15">
        <v>4725</v>
      </c>
      <c r="G362" s="15">
        <v>400</v>
      </c>
      <c r="H362" s="15">
        <v>362</v>
      </c>
      <c r="I362" s="15">
        <v>75600</v>
      </c>
      <c r="J362" s="15">
        <v>74927</v>
      </c>
      <c r="K362" s="15">
        <v>43</v>
      </c>
      <c r="L362" s="15" t="s">
        <v>82</v>
      </c>
      <c r="M362" s="15">
        <v>5487</v>
      </c>
      <c r="N362" s="15" t="s">
        <v>104</v>
      </c>
    </row>
    <row r="363" spans="1:14" x14ac:dyDescent="0.3">
      <c r="A363" s="15" t="s">
        <v>520</v>
      </c>
      <c r="B363" s="15" t="s">
        <v>3</v>
      </c>
      <c r="C363" s="67">
        <v>45489</v>
      </c>
      <c r="D363" s="15" t="s">
        <v>85</v>
      </c>
      <c r="E363" s="15" t="s">
        <v>86</v>
      </c>
      <c r="F363" s="15">
        <v>4725</v>
      </c>
      <c r="G363" s="15">
        <v>400</v>
      </c>
      <c r="H363" s="15">
        <v>362</v>
      </c>
      <c r="I363" s="15">
        <v>75600</v>
      </c>
      <c r="J363" s="15">
        <v>74927</v>
      </c>
      <c r="K363" s="15">
        <v>43</v>
      </c>
      <c r="L363" s="15" t="s">
        <v>82</v>
      </c>
      <c r="M363" s="15">
        <v>5487</v>
      </c>
      <c r="N363" s="15" t="s">
        <v>87</v>
      </c>
    </row>
    <row r="364" spans="1:14" x14ac:dyDescent="0.3">
      <c r="A364" s="15" t="s">
        <v>522</v>
      </c>
      <c r="B364" s="15" t="s">
        <v>4</v>
      </c>
      <c r="C364" s="67">
        <v>45712</v>
      </c>
      <c r="D364" s="15" t="s">
        <v>85</v>
      </c>
      <c r="E364" s="15" t="s">
        <v>86</v>
      </c>
      <c r="F364" s="15">
        <v>4188</v>
      </c>
      <c r="G364" s="15">
        <v>942</v>
      </c>
      <c r="H364" s="15">
        <v>118</v>
      </c>
      <c r="I364" s="15">
        <v>20940</v>
      </c>
      <c r="J364" s="15">
        <v>20471</v>
      </c>
      <c r="K364" s="15">
        <v>102</v>
      </c>
      <c r="L364" s="15" t="s">
        <v>88</v>
      </c>
      <c r="M364" s="15">
        <v>5248</v>
      </c>
      <c r="N364" s="15" t="s">
        <v>118</v>
      </c>
    </row>
    <row r="365" spans="1:14" x14ac:dyDescent="0.3">
      <c r="A365" s="15" t="s">
        <v>523</v>
      </c>
      <c r="B365" s="15" t="s">
        <v>3</v>
      </c>
      <c r="C365" s="67">
        <v>45530</v>
      </c>
      <c r="D365" s="15" t="s">
        <v>102</v>
      </c>
      <c r="E365" s="15" t="s">
        <v>103</v>
      </c>
      <c r="F365" s="15">
        <v>929</v>
      </c>
      <c r="G365" s="15">
        <v>192</v>
      </c>
      <c r="H365" s="15">
        <v>322</v>
      </c>
      <c r="I365" s="15">
        <v>16722</v>
      </c>
      <c r="J365" s="15">
        <v>15996</v>
      </c>
      <c r="K365" s="15">
        <v>145</v>
      </c>
      <c r="L365" s="15" t="s">
        <v>99</v>
      </c>
      <c r="M365" s="15">
        <v>1443</v>
      </c>
      <c r="N365" s="15" t="s">
        <v>87</v>
      </c>
    </row>
    <row r="366" spans="1:14" x14ac:dyDescent="0.3">
      <c r="A366" s="15" t="s">
        <v>524</v>
      </c>
      <c r="B366" s="15" t="s">
        <v>1</v>
      </c>
      <c r="C366" s="67">
        <v>45675</v>
      </c>
      <c r="D366" s="15" t="s">
        <v>94</v>
      </c>
      <c r="E366" s="15" t="s">
        <v>95</v>
      </c>
      <c r="F366" s="15">
        <v>4321</v>
      </c>
      <c r="G366" s="15">
        <v>874</v>
      </c>
      <c r="H366" s="15">
        <v>172</v>
      </c>
      <c r="I366" s="15">
        <v>30247</v>
      </c>
      <c r="J366" s="15">
        <v>29254</v>
      </c>
      <c r="K366" s="15">
        <v>122</v>
      </c>
      <c r="L366" s="15" t="s">
        <v>99</v>
      </c>
      <c r="M366" s="15">
        <v>5367</v>
      </c>
      <c r="N366" s="15" t="s">
        <v>81</v>
      </c>
    </row>
    <row r="367" spans="1:14" x14ac:dyDescent="0.3">
      <c r="A367" s="15" t="s">
        <v>524</v>
      </c>
      <c r="B367" s="15" t="s">
        <v>1</v>
      </c>
      <c r="C367" s="67">
        <v>45675</v>
      </c>
      <c r="D367" s="15" t="s">
        <v>94</v>
      </c>
      <c r="E367" s="15" t="s">
        <v>95</v>
      </c>
      <c r="F367" s="15">
        <v>4321</v>
      </c>
      <c r="G367" s="15">
        <v>874</v>
      </c>
      <c r="H367" s="15">
        <v>172</v>
      </c>
      <c r="I367" s="15">
        <v>30247</v>
      </c>
      <c r="J367" s="15">
        <v>29254</v>
      </c>
      <c r="K367" s="15">
        <v>122</v>
      </c>
      <c r="L367" s="15" t="s">
        <v>99</v>
      </c>
      <c r="M367" s="15">
        <v>5367</v>
      </c>
      <c r="N367" s="15" t="s">
        <v>87</v>
      </c>
    </row>
    <row r="368" spans="1:14" x14ac:dyDescent="0.3">
      <c r="A368" s="15" t="s">
        <v>526</v>
      </c>
      <c r="B368" s="15" t="s">
        <v>1</v>
      </c>
      <c r="C368" s="67">
        <v>45480</v>
      </c>
      <c r="D368" s="15" t="s">
        <v>79</v>
      </c>
      <c r="E368" s="15" t="s">
        <v>80</v>
      </c>
      <c r="F368" s="15">
        <v>4767</v>
      </c>
      <c r="G368" s="15">
        <v>190</v>
      </c>
      <c r="H368" s="15">
        <v>340</v>
      </c>
      <c r="I368" s="15">
        <v>28602</v>
      </c>
      <c r="J368" s="15">
        <v>28044</v>
      </c>
      <c r="K368" s="15">
        <v>210</v>
      </c>
      <c r="L368" s="15" t="s">
        <v>115</v>
      </c>
      <c r="M368" s="15">
        <v>5297</v>
      </c>
      <c r="N368" s="15" t="s">
        <v>137</v>
      </c>
    </row>
    <row r="369" spans="1:14" x14ac:dyDescent="0.3">
      <c r="A369" s="15" t="s">
        <v>527</v>
      </c>
      <c r="B369" s="15" t="s">
        <v>3</v>
      </c>
      <c r="C369" s="67">
        <v>45722</v>
      </c>
      <c r="D369" s="15" t="s">
        <v>109</v>
      </c>
      <c r="E369" s="15" t="s">
        <v>110</v>
      </c>
      <c r="F369" s="15">
        <v>3592</v>
      </c>
      <c r="G369" s="15">
        <v>911</v>
      </c>
      <c r="H369" s="15">
        <v>375</v>
      </c>
      <c r="I369" s="15">
        <v>50288</v>
      </c>
      <c r="J369" s="15">
        <v>49490</v>
      </c>
      <c r="K369" s="15">
        <v>32</v>
      </c>
      <c r="L369" s="15" t="s">
        <v>88</v>
      </c>
      <c r="M369" s="15">
        <v>4878</v>
      </c>
      <c r="N369" s="15" t="s">
        <v>118</v>
      </c>
    </row>
    <row r="370" spans="1:14" x14ac:dyDescent="0.3">
      <c r="A370" s="15" t="s">
        <v>529</v>
      </c>
      <c r="B370" s="15" t="s">
        <v>4</v>
      </c>
      <c r="C370" s="67">
        <v>45590</v>
      </c>
      <c r="D370" s="15" t="s">
        <v>129</v>
      </c>
      <c r="E370" s="15" t="s">
        <v>130</v>
      </c>
      <c r="F370" s="15">
        <v>4661</v>
      </c>
      <c r="G370" s="15">
        <v>935</v>
      </c>
      <c r="H370" s="15">
        <v>433</v>
      </c>
      <c r="I370" s="15">
        <v>23305</v>
      </c>
      <c r="J370" s="15">
        <v>22583</v>
      </c>
      <c r="K370" s="15">
        <v>63</v>
      </c>
      <c r="L370" s="15" t="s">
        <v>82</v>
      </c>
      <c r="M370" s="15">
        <v>6029</v>
      </c>
      <c r="N370" s="15" t="s">
        <v>118</v>
      </c>
    </row>
    <row r="371" spans="1:14" x14ac:dyDescent="0.3">
      <c r="A371" s="15" t="s">
        <v>529</v>
      </c>
      <c r="B371" s="15" t="s">
        <v>4</v>
      </c>
      <c r="C371" s="67">
        <v>45590</v>
      </c>
      <c r="D371" s="15" t="s">
        <v>129</v>
      </c>
      <c r="E371" s="15" t="s">
        <v>130</v>
      </c>
      <c r="F371" s="15">
        <v>4661</v>
      </c>
      <c r="G371" s="15">
        <v>935</v>
      </c>
      <c r="H371" s="15">
        <v>433</v>
      </c>
      <c r="I371" s="15">
        <v>23305</v>
      </c>
      <c r="J371" s="15">
        <v>22583</v>
      </c>
      <c r="K371" s="15">
        <v>63</v>
      </c>
      <c r="L371" s="15" t="s">
        <v>82</v>
      </c>
      <c r="M371" s="15">
        <v>6029</v>
      </c>
      <c r="N371" s="15" t="s">
        <v>137</v>
      </c>
    </row>
    <row r="372" spans="1:14" x14ac:dyDescent="0.3">
      <c r="A372" s="15" t="s">
        <v>531</v>
      </c>
      <c r="B372" s="15" t="s">
        <v>1</v>
      </c>
      <c r="C372" s="67">
        <v>45669</v>
      </c>
      <c r="D372" s="15" t="s">
        <v>79</v>
      </c>
      <c r="E372" s="15" t="s">
        <v>80</v>
      </c>
      <c r="F372" s="15">
        <v>4134</v>
      </c>
      <c r="G372" s="15">
        <v>824</v>
      </c>
      <c r="H372" s="15">
        <v>99</v>
      </c>
      <c r="I372" s="15">
        <v>41340</v>
      </c>
      <c r="J372" s="15">
        <v>41050</v>
      </c>
      <c r="K372" s="15">
        <v>177</v>
      </c>
      <c r="L372" s="15" t="s">
        <v>88</v>
      </c>
      <c r="M372" s="15">
        <v>5057</v>
      </c>
      <c r="N372" s="15" t="s">
        <v>87</v>
      </c>
    </row>
    <row r="373" spans="1:14" x14ac:dyDescent="0.3">
      <c r="A373" s="15" t="s">
        <v>533</v>
      </c>
      <c r="B373" s="15" t="s">
        <v>1</v>
      </c>
      <c r="C373" s="67">
        <v>45576</v>
      </c>
      <c r="D373" s="15" t="s">
        <v>109</v>
      </c>
      <c r="E373" s="15" t="s">
        <v>110</v>
      </c>
      <c r="F373" s="15">
        <v>400</v>
      </c>
      <c r="G373" s="15">
        <v>680</v>
      </c>
      <c r="H373" s="15">
        <v>434</v>
      </c>
      <c r="I373" s="15">
        <v>6400</v>
      </c>
      <c r="J373" s="15">
        <v>5472</v>
      </c>
      <c r="K373" s="15">
        <v>160</v>
      </c>
      <c r="L373" s="15" t="s">
        <v>88</v>
      </c>
      <c r="M373" s="15">
        <v>1514</v>
      </c>
      <c r="N373" s="15" t="s">
        <v>81</v>
      </c>
    </row>
    <row r="374" spans="1:14" x14ac:dyDescent="0.3">
      <c r="A374" s="15" t="s">
        <v>533</v>
      </c>
      <c r="B374" s="15" t="s">
        <v>1</v>
      </c>
      <c r="C374" s="67">
        <v>45576</v>
      </c>
      <c r="D374" s="15" t="s">
        <v>109</v>
      </c>
      <c r="E374" s="15" t="s">
        <v>110</v>
      </c>
      <c r="F374" s="15">
        <v>400</v>
      </c>
      <c r="G374" s="15">
        <v>680</v>
      </c>
      <c r="H374" s="15">
        <v>434</v>
      </c>
      <c r="I374" s="15">
        <v>6400</v>
      </c>
      <c r="J374" s="15">
        <v>5472</v>
      </c>
      <c r="K374" s="15">
        <v>160</v>
      </c>
      <c r="L374" s="15" t="s">
        <v>88</v>
      </c>
      <c r="M374" s="15">
        <v>1514</v>
      </c>
      <c r="N374" s="15" t="s">
        <v>104</v>
      </c>
    </row>
    <row r="375" spans="1:14" x14ac:dyDescent="0.3">
      <c r="A375" s="15" t="s">
        <v>535</v>
      </c>
      <c r="B375" s="15" t="s">
        <v>1</v>
      </c>
      <c r="C375" s="67">
        <v>45531</v>
      </c>
      <c r="D375" s="15" t="s">
        <v>79</v>
      </c>
      <c r="E375" s="15" t="s">
        <v>80</v>
      </c>
      <c r="F375" s="15">
        <v>3960</v>
      </c>
      <c r="G375" s="15">
        <v>266</v>
      </c>
      <c r="H375" s="15">
        <v>8</v>
      </c>
      <c r="I375" s="15">
        <v>35640</v>
      </c>
      <c r="J375" s="15">
        <v>34850</v>
      </c>
      <c r="K375" s="15">
        <v>208</v>
      </c>
      <c r="L375" s="15" t="s">
        <v>115</v>
      </c>
      <c r="M375" s="15">
        <v>4234</v>
      </c>
      <c r="N375" s="15" t="s">
        <v>104</v>
      </c>
    </row>
    <row r="376" spans="1:14" x14ac:dyDescent="0.3">
      <c r="A376" s="15" t="s">
        <v>535</v>
      </c>
      <c r="B376" s="15" t="s">
        <v>1</v>
      </c>
      <c r="C376" s="67">
        <v>45531</v>
      </c>
      <c r="D376" s="15" t="s">
        <v>79</v>
      </c>
      <c r="E376" s="15" t="s">
        <v>80</v>
      </c>
      <c r="F376" s="15">
        <v>3960</v>
      </c>
      <c r="G376" s="15">
        <v>266</v>
      </c>
      <c r="H376" s="15">
        <v>8</v>
      </c>
      <c r="I376" s="15">
        <v>35640</v>
      </c>
      <c r="J376" s="15">
        <v>34850</v>
      </c>
      <c r="K376" s="15">
        <v>208</v>
      </c>
      <c r="L376" s="15" t="s">
        <v>115</v>
      </c>
      <c r="M376" s="15">
        <v>4234</v>
      </c>
      <c r="N376" s="15" t="s">
        <v>87</v>
      </c>
    </row>
    <row r="377" spans="1:14" x14ac:dyDescent="0.3">
      <c r="A377" s="15" t="s">
        <v>537</v>
      </c>
      <c r="B377" s="15" t="s">
        <v>1</v>
      </c>
      <c r="C377" s="67">
        <v>45690</v>
      </c>
      <c r="D377" s="15" t="s">
        <v>94</v>
      </c>
      <c r="E377" s="15" t="s">
        <v>95</v>
      </c>
      <c r="F377" s="15">
        <v>886</v>
      </c>
      <c r="G377" s="15">
        <v>126</v>
      </c>
      <c r="H377" s="15">
        <v>153</v>
      </c>
      <c r="I377" s="15">
        <v>4430</v>
      </c>
      <c r="J377" s="15">
        <v>4037</v>
      </c>
      <c r="K377" s="15">
        <v>212</v>
      </c>
      <c r="L377" s="15" t="s">
        <v>99</v>
      </c>
      <c r="M377" s="15">
        <v>1165</v>
      </c>
      <c r="N377" s="15" t="s">
        <v>81</v>
      </c>
    </row>
    <row r="378" spans="1:14" x14ac:dyDescent="0.3">
      <c r="A378" s="15" t="s">
        <v>538</v>
      </c>
      <c r="B378" s="15" t="s">
        <v>3</v>
      </c>
      <c r="C378" s="67">
        <v>45491</v>
      </c>
      <c r="D378" s="15" t="s">
        <v>109</v>
      </c>
      <c r="E378" s="15" t="s">
        <v>110</v>
      </c>
      <c r="F378" s="15">
        <v>827</v>
      </c>
      <c r="G378" s="15">
        <v>77</v>
      </c>
      <c r="H378" s="15">
        <v>402</v>
      </c>
      <c r="I378" s="15">
        <v>14886</v>
      </c>
      <c r="J378" s="15">
        <v>14129</v>
      </c>
      <c r="K378" s="15">
        <v>254</v>
      </c>
      <c r="L378" s="15" t="s">
        <v>88</v>
      </c>
      <c r="M378" s="15">
        <v>1306</v>
      </c>
      <c r="N378" s="15" t="s">
        <v>118</v>
      </c>
    </row>
    <row r="379" spans="1:14" x14ac:dyDescent="0.3">
      <c r="A379" s="15" t="s">
        <v>539</v>
      </c>
      <c r="B379" s="15" t="s">
        <v>1</v>
      </c>
      <c r="C379" s="67">
        <v>45465</v>
      </c>
      <c r="D379" s="15" t="s">
        <v>79</v>
      </c>
      <c r="E379" s="15" t="s">
        <v>80</v>
      </c>
      <c r="F379" s="15">
        <v>3813</v>
      </c>
      <c r="G379" s="15">
        <v>935</v>
      </c>
      <c r="H379" s="15">
        <v>274</v>
      </c>
      <c r="I379" s="15">
        <v>68634</v>
      </c>
      <c r="J379" s="15">
        <v>68488</v>
      </c>
      <c r="K379" s="15">
        <v>251</v>
      </c>
      <c r="L379" s="15" t="s">
        <v>82</v>
      </c>
      <c r="M379" s="15">
        <v>5022</v>
      </c>
      <c r="N379" s="15" t="s">
        <v>137</v>
      </c>
    </row>
    <row r="380" spans="1:14" x14ac:dyDescent="0.3">
      <c r="A380" s="15" t="s">
        <v>539</v>
      </c>
      <c r="B380" s="15" t="s">
        <v>1</v>
      </c>
      <c r="C380" s="67">
        <v>45465</v>
      </c>
      <c r="D380" s="15" t="s">
        <v>79</v>
      </c>
      <c r="E380" s="15" t="s">
        <v>80</v>
      </c>
      <c r="F380" s="15">
        <v>3813</v>
      </c>
      <c r="G380" s="15">
        <v>935</v>
      </c>
      <c r="H380" s="15">
        <v>274</v>
      </c>
      <c r="I380" s="15">
        <v>68634</v>
      </c>
      <c r="J380" s="15">
        <v>68488</v>
      </c>
      <c r="K380" s="15">
        <v>251</v>
      </c>
      <c r="L380" s="15" t="s">
        <v>82</v>
      </c>
      <c r="M380" s="15">
        <v>5022</v>
      </c>
      <c r="N380" s="15" t="s">
        <v>104</v>
      </c>
    </row>
    <row r="381" spans="1:14" x14ac:dyDescent="0.3">
      <c r="A381" s="15" t="s">
        <v>540</v>
      </c>
      <c r="B381" s="15" t="s">
        <v>2</v>
      </c>
      <c r="C381" s="67">
        <v>45743</v>
      </c>
      <c r="D381" s="15" t="s">
        <v>102</v>
      </c>
      <c r="E381" s="15" t="s">
        <v>103</v>
      </c>
      <c r="F381" s="15">
        <v>1377</v>
      </c>
      <c r="G381" s="15">
        <v>796</v>
      </c>
      <c r="H381" s="15">
        <v>387</v>
      </c>
      <c r="I381" s="15">
        <v>22032</v>
      </c>
      <c r="J381" s="15">
        <v>21869</v>
      </c>
      <c r="K381" s="15">
        <v>189</v>
      </c>
      <c r="L381" s="15" t="s">
        <v>99</v>
      </c>
      <c r="M381" s="15">
        <v>2560</v>
      </c>
      <c r="N381" s="15" t="s">
        <v>137</v>
      </c>
    </row>
    <row r="382" spans="1:14" x14ac:dyDescent="0.3">
      <c r="A382" s="15" t="s">
        <v>540</v>
      </c>
      <c r="B382" s="15" t="s">
        <v>2</v>
      </c>
      <c r="C382" s="67">
        <v>45743</v>
      </c>
      <c r="D382" s="15" t="s">
        <v>102</v>
      </c>
      <c r="E382" s="15" t="s">
        <v>103</v>
      </c>
      <c r="F382" s="15">
        <v>1377</v>
      </c>
      <c r="G382" s="15">
        <v>796</v>
      </c>
      <c r="H382" s="15">
        <v>387</v>
      </c>
      <c r="I382" s="15">
        <v>22032</v>
      </c>
      <c r="J382" s="15">
        <v>21869</v>
      </c>
      <c r="K382" s="15">
        <v>189</v>
      </c>
      <c r="L382" s="15" t="s">
        <v>99</v>
      </c>
      <c r="M382" s="15">
        <v>2560</v>
      </c>
      <c r="N382" s="15" t="s">
        <v>87</v>
      </c>
    </row>
    <row r="383" spans="1:14" x14ac:dyDescent="0.3">
      <c r="A383" s="15" t="s">
        <v>542</v>
      </c>
      <c r="B383" s="15" t="s">
        <v>1</v>
      </c>
      <c r="C383" s="67">
        <v>45775</v>
      </c>
      <c r="D383" s="15" t="s">
        <v>102</v>
      </c>
      <c r="E383" s="15" t="s">
        <v>103</v>
      </c>
      <c r="F383" s="15">
        <v>2089</v>
      </c>
      <c r="G383" s="15">
        <v>476</v>
      </c>
      <c r="H383" s="15">
        <v>69</v>
      </c>
      <c r="I383" s="15">
        <v>16712</v>
      </c>
      <c r="J383" s="15">
        <v>16309</v>
      </c>
      <c r="K383" s="15">
        <v>64</v>
      </c>
      <c r="L383" s="15" t="s">
        <v>82</v>
      </c>
      <c r="M383" s="15">
        <v>2634</v>
      </c>
      <c r="N383" s="15" t="s">
        <v>118</v>
      </c>
    </row>
    <row r="384" spans="1:14" x14ac:dyDescent="0.3">
      <c r="A384" s="15" t="s">
        <v>542</v>
      </c>
      <c r="B384" s="15" t="s">
        <v>1</v>
      </c>
      <c r="C384" s="67">
        <v>45775</v>
      </c>
      <c r="D384" s="15" t="s">
        <v>102</v>
      </c>
      <c r="E384" s="15" t="s">
        <v>103</v>
      </c>
      <c r="F384" s="15">
        <v>2089</v>
      </c>
      <c r="G384" s="15">
        <v>476</v>
      </c>
      <c r="H384" s="15">
        <v>69</v>
      </c>
      <c r="I384" s="15">
        <v>16712</v>
      </c>
      <c r="J384" s="15">
        <v>16309</v>
      </c>
      <c r="K384" s="15">
        <v>64</v>
      </c>
      <c r="L384" s="15" t="s">
        <v>82</v>
      </c>
      <c r="M384" s="15">
        <v>2634</v>
      </c>
      <c r="N384" s="15" t="s">
        <v>81</v>
      </c>
    </row>
    <row r="385" spans="1:14" x14ac:dyDescent="0.3">
      <c r="A385" s="15" t="s">
        <v>543</v>
      </c>
      <c r="B385" s="15" t="s">
        <v>3</v>
      </c>
      <c r="C385" s="67">
        <v>45507</v>
      </c>
      <c r="D385" s="15" t="s">
        <v>79</v>
      </c>
      <c r="E385" s="15" t="s">
        <v>80</v>
      </c>
      <c r="F385" s="15">
        <v>3791</v>
      </c>
      <c r="G385" s="15">
        <v>593</v>
      </c>
      <c r="H385" s="15">
        <v>228</v>
      </c>
      <c r="I385" s="15">
        <v>53074</v>
      </c>
      <c r="J385" s="15">
        <v>52613</v>
      </c>
      <c r="K385" s="15">
        <v>205</v>
      </c>
      <c r="L385" s="15" t="s">
        <v>82</v>
      </c>
      <c r="M385" s="15">
        <v>4612</v>
      </c>
      <c r="N385" s="15" t="s">
        <v>118</v>
      </c>
    </row>
    <row r="386" spans="1:14" x14ac:dyDescent="0.3">
      <c r="A386" s="15" t="s">
        <v>543</v>
      </c>
      <c r="B386" s="15" t="s">
        <v>3</v>
      </c>
      <c r="C386" s="67">
        <v>45507</v>
      </c>
      <c r="D386" s="15" t="s">
        <v>79</v>
      </c>
      <c r="E386" s="15" t="s">
        <v>80</v>
      </c>
      <c r="F386" s="15">
        <v>3791</v>
      </c>
      <c r="G386" s="15">
        <v>593</v>
      </c>
      <c r="H386" s="15">
        <v>228</v>
      </c>
      <c r="I386" s="15">
        <v>53074</v>
      </c>
      <c r="J386" s="15">
        <v>52613</v>
      </c>
      <c r="K386" s="15">
        <v>205</v>
      </c>
      <c r="L386" s="15" t="s">
        <v>82</v>
      </c>
      <c r="M386" s="15">
        <v>4612</v>
      </c>
      <c r="N386" s="15" t="s">
        <v>137</v>
      </c>
    </row>
    <row r="387" spans="1:14" x14ac:dyDescent="0.3">
      <c r="A387" s="15" t="s">
        <v>545</v>
      </c>
      <c r="B387" s="15" t="s">
        <v>3</v>
      </c>
      <c r="C387" s="67">
        <v>45671</v>
      </c>
      <c r="D387" s="15" t="s">
        <v>109</v>
      </c>
      <c r="E387" s="15" t="s">
        <v>110</v>
      </c>
      <c r="F387" s="15">
        <v>2692</v>
      </c>
      <c r="G387" s="15">
        <v>115</v>
      </c>
      <c r="H387" s="15">
        <v>64</v>
      </c>
      <c r="I387" s="15">
        <v>21536</v>
      </c>
      <c r="J387" s="15">
        <v>21120</v>
      </c>
      <c r="K387" s="15">
        <v>224</v>
      </c>
      <c r="L387" s="15" t="s">
        <v>115</v>
      </c>
      <c r="M387" s="15">
        <v>2871</v>
      </c>
      <c r="N387" s="15" t="s">
        <v>137</v>
      </c>
    </row>
    <row r="388" spans="1:14" x14ac:dyDescent="0.3">
      <c r="A388" s="15" t="s">
        <v>545</v>
      </c>
      <c r="B388" s="15" t="s">
        <v>3</v>
      </c>
      <c r="C388" s="67">
        <v>45671</v>
      </c>
      <c r="D388" s="15" t="s">
        <v>109</v>
      </c>
      <c r="E388" s="15" t="s">
        <v>110</v>
      </c>
      <c r="F388" s="15">
        <v>2692</v>
      </c>
      <c r="G388" s="15">
        <v>115</v>
      </c>
      <c r="H388" s="15">
        <v>64</v>
      </c>
      <c r="I388" s="15">
        <v>21536</v>
      </c>
      <c r="J388" s="15">
        <v>21120</v>
      </c>
      <c r="K388" s="15">
        <v>224</v>
      </c>
      <c r="L388" s="15" t="s">
        <v>115</v>
      </c>
      <c r="M388" s="15">
        <v>2871</v>
      </c>
      <c r="N388" s="15" t="s">
        <v>104</v>
      </c>
    </row>
    <row r="389" spans="1:14" x14ac:dyDescent="0.3">
      <c r="A389" s="15" t="s">
        <v>547</v>
      </c>
      <c r="B389" s="15" t="s">
        <v>1</v>
      </c>
      <c r="C389" s="67">
        <v>45750</v>
      </c>
      <c r="D389" s="15" t="s">
        <v>94</v>
      </c>
      <c r="E389" s="15" t="s">
        <v>95</v>
      </c>
      <c r="F389" s="15">
        <v>3767</v>
      </c>
      <c r="G389" s="15">
        <v>514</v>
      </c>
      <c r="H389" s="15">
        <v>238</v>
      </c>
      <c r="I389" s="15">
        <v>37670</v>
      </c>
      <c r="J389" s="15">
        <v>36807</v>
      </c>
      <c r="K389" s="15">
        <v>226</v>
      </c>
      <c r="L389" s="15" t="s">
        <v>82</v>
      </c>
      <c r="M389" s="15">
        <v>4519</v>
      </c>
      <c r="N389" s="15" t="s">
        <v>118</v>
      </c>
    </row>
    <row r="390" spans="1:14" x14ac:dyDescent="0.3">
      <c r="A390" s="15" t="s">
        <v>547</v>
      </c>
      <c r="B390" s="15" t="s">
        <v>1</v>
      </c>
      <c r="C390" s="67">
        <v>45750</v>
      </c>
      <c r="D390" s="15" t="s">
        <v>94</v>
      </c>
      <c r="E390" s="15" t="s">
        <v>95</v>
      </c>
      <c r="F390" s="15">
        <v>3767</v>
      </c>
      <c r="G390" s="15">
        <v>514</v>
      </c>
      <c r="H390" s="15">
        <v>238</v>
      </c>
      <c r="I390" s="15">
        <v>37670</v>
      </c>
      <c r="J390" s="15">
        <v>36807</v>
      </c>
      <c r="K390" s="15">
        <v>226</v>
      </c>
      <c r="L390" s="15" t="s">
        <v>82</v>
      </c>
      <c r="M390" s="15">
        <v>4519</v>
      </c>
      <c r="N390" s="15" t="s">
        <v>137</v>
      </c>
    </row>
    <row r="391" spans="1:14" x14ac:dyDescent="0.3">
      <c r="A391" s="15" t="s">
        <v>548</v>
      </c>
      <c r="B391" s="15" t="s">
        <v>4</v>
      </c>
      <c r="C391" s="67">
        <v>45553</v>
      </c>
      <c r="D391" s="15" t="s">
        <v>102</v>
      </c>
      <c r="E391" s="15" t="s">
        <v>103</v>
      </c>
      <c r="F391" s="15">
        <v>2143</v>
      </c>
      <c r="G391" s="15">
        <v>12</v>
      </c>
      <c r="H391" s="15">
        <v>204</v>
      </c>
      <c r="I391" s="15">
        <v>40717</v>
      </c>
      <c r="J391" s="15">
        <v>40125</v>
      </c>
      <c r="K391" s="15">
        <v>248</v>
      </c>
      <c r="L391" s="15" t="s">
        <v>115</v>
      </c>
      <c r="M391" s="15">
        <v>2359</v>
      </c>
      <c r="N391" s="15" t="s">
        <v>137</v>
      </c>
    </row>
    <row r="392" spans="1:14" x14ac:dyDescent="0.3">
      <c r="A392" s="15" t="s">
        <v>548</v>
      </c>
      <c r="B392" s="15" t="s">
        <v>4</v>
      </c>
      <c r="C392" s="67">
        <v>45553</v>
      </c>
      <c r="D392" s="15" t="s">
        <v>102</v>
      </c>
      <c r="E392" s="15" t="s">
        <v>103</v>
      </c>
      <c r="F392" s="15">
        <v>2143</v>
      </c>
      <c r="G392" s="15">
        <v>12</v>
      </c>
      <c r="H392" s="15">
        <v>204</v>
      </c>
      <c r="I392" s="15">
        <v>40717</v>
      </c>
      <c r="J392" s="15">
        <v>40125</v>
      </c>
      <c r="K392" s="15">
        <v>248</v>
      </c>
      <c r="L392" s="15" t="s">
        <v>115</v>
      </c>
      <c r="M392" s="15">
        <v>2359</v>
      </c>
      <c r="N392" s="15" t="s">
        <v>81</v>
      </c>
    </row>
    <row r="393" spans="1:14" x14ac:dyDescent="0.3">
      <c r="A393" s="15" t="s">
        <v>549</v>
      </c>
      <c r="B393" s="15" t="s">
        <v>1</v>
      </c>
      <c r="C393" s="67">
        <v>45753</v>
      </c>
      <c r="D393" s="15" t="s">
        <v>109</v>
      </c>
      <c r="E393" s="15" t="s">
        <v>110</v>
      </c>
      <c r="F393" s="15">
        <v>3090</v>
      </c>
      <c r="G393" s="15">
        <v>697</v>
      </c>
      <c r="H393" s="15">
        <v>164</v>
      </c>
      <c r="I393" s="15">
        <v>49440</v>
      </c>
      <c r="J393" s="15">
        <v>48524</v>
      </c>
      <c r="K393" s="15">
        <v>25</v>
      </c>
      <c r="L393" s="15" t="s">
        <v>115</v>
      </c>
      <c r="M393" s="15">
        <v>3951</v>
      </c>
      <c r="N393" s="15" t="s">
        <v>137</v>
      </c>
    </row>
    <row r="394" spans="1:14" x14ac:dyDescent="0.3">
      <c r="A394" s="15" t="s">
        <v>549</v>
      </c>
      <c r="B394" s="15" t="s">
        <v>1</v>
      </c>
      <c r="C394" s="67">
        <v>45753</v>
      </c>
      <c r="D394" s="15" t="s">
        <v>109</v>
      </c>
      <c r="E394" s="15" t="s">
        <v>110</v>
      </c>
      <c r="F394" s="15">
        <v>3090</v>
      </c>
      <c r="G394" s="15">
        <v>697</v>
      </c>
      <c r="H394" s="15">
        <v>164</v>
      </c>
      <c r="I394" s="15">
        <v>49440</v>
      </c>
      <c r="J394" s="15">
        <v>48524</v>
      </c>
      <c r="K394" s="15">
        <v>25</v>
      </c>
      <c r="L394" s="15" t="s">
        <v>115</v>
      </c>
      <c r="M394" s="15">
        <v>3951</v>
      </c>
      <c r="N394" s="15" t="s">
        <v>118</v>
      </c>
    </row>
    <row r="395" spans="1:14" x14ac:dyDescent="0.3">
      <c r="A395" s="15" t="s">
        <v>550</v>
      </c>
      <c r="B395" s="15" t="s">
        <v>2</v>
      </c>
      <c r="C395" s="67">
        <v>45509</v>
      </c>
      <c r="D395" s="15" t="s">
        <v>94</v>
      </c>
      <c r="E395" s="15" t="s">
        <v>95</v>
      </c>
      <c r="F395" s="15">
        <v>3601</v>
      </c>
      <c r="G395" s="15">
        <v>695</v>
      </c>
      <c r="H395" s="15">
        <v>75</v>
      </c>
      <c r="I395" s="15">
        <v>21606</v>
      </c>
      <c r="J395" s="15">
        <v>21454</v>
      </c>
      <c r="K395" s="15">
        <v>172</v>
      </c>
      <c r="L395" s="15" t="s">
        <v>88</v>
      </c>
      <c r="M395" s="15">
        <v>4371</v>
      </c>
      <c r="N395" s="15" t="s">
        <v>118</v>
      </c>
    </row>
    <row r="396" spans="1:14" x14ac:dyDescent="0.3">
      <c r="A396" s="15" t="s">
        <v>552</v>
      </c>
      <c r="B396" s="15" t="s">
        <v>1</v>
      </c>
      <c r="C396" s="67">
        <v>45698</v>
      </c>
      <c r="D396" s="15" t="s">
        <v>85</v>
      </c>
      <c r="E396" s="15" t="s">
        <v>86</v>
      </c>
      <c r="F396" s="15">
        <v>562</v>
      </c>
      <c r="G396" s="15">
        <v>158</v>
      </c>
      <c r="H396" s="15">
        <v>149</v>
      </c>
      <c r="I396" s="15">
        <v>3372</v>
      </c>
      <c r="J396" s="15">
        <v>2940</v>
      </c>
      <c r="K396" s="15">
        <v>93</v>
      </c>
      <c r="L396" s="15" t="s">
        <v>115</v>
      </c>
      <c r="M396" s="15">
        <v>869</v>
      </c>
      <c r="N396" s="15" t="s">
        <v>137</v>
      </c>
    </row>
    <row r="397" spans="1:14" x14ac:dyDescent="0.3">
      <c r="A397" s="15" t="s">
        <v>552</v>
      </c>
      <c r="B397" s="15" t="s">
        <v>1</v>
      </c>
      <c r="C397" s="67">
        <v>45698</v>
      </c>
      <c r="D397" s="15" t="s">
        <v>85</v>
      </c>
      <c r="E397" s="15" t="s">
        <v>86</v>
      </c>
      <c r="F397" s="15">
        <v>562</v>
      </c>
      <c r="G397" s="15">
        <v>158</v>
      </c>
      <c r="H397" s="15">
        <v>149</v>
      </c>
      <c r="I397" s="15">
        <v>3372</v>
      </c>
      <c r="J397" s="15">
        <v>2940</v>
      </c>
      <c r="K397" s="15">
        <v>93</v>
      </c>
      <c r="L397" s="15" t="s">
        <v>115</v>
      </c>
      <c r="M397" s="15">
        <v>869</v>
      </c>
      <c r="N397" s="15" t="s">
        <v>81</v>
      </c>
    </row>
    <row r="398" spans="1:14" x14ac:dyDescent="0.3">
      <c r="A398" s="15" t="s">
        <v>553</v>
      </c>
      <c r="B398" s="15" t="s">
        <v>2</v>
      </c>
      <c r="C398" s="67">
        <v>45700</v>
      </c>
      <c r="D398" s="15" t="s">
        <v>94</v>
      </c>
      <c r="E398" s="15" t="s">
        <v>95</v>
      </c>
      <c r="F398" s="15">
        <v>4332</v>
      </c>
      <c r="G398" s="15">
        <v>771</v>
      </c>
      <c r="H398" s="15">
        <v>219</v>
      </c>
      <c r="I398" s="15">
        <v>60648</v>
      </c>
      <c r="J398" s="15">
        <v>60397</v>
      </c>
      <c r="K398" s="15">
        <v>10</v>
      </c>
      <c r="L398" s="15" t="s">
        <v>99</v>
      </c>
      <c r="M398" s="15">
        <v>5322</v>
      </c>
      <c r="N398" s="15" t="s">
        <v>87</v>
      </c>
    </row>
    <row r="399" spans="1:14" x14ac:dyDescent="0.3">
      <c r="A399" s="15" t="s">
        <v>555</v>
      </c>
      <c r="B399" s="15" t="s">
        <v>2</v>
      </c>
      <c r="C399" s="67">
        <v>45592</v>
      </c>
      <c r="D399" s="15" t="s">
        <v>109</v>
      </c>
      <c r="E399" s="15" t="s">
        <v>110</v>
      </c>
      <c r="F399" s="15">
        <v>4853</v>
      </c>
      <c r="G399" s="15">
        <v>837</v>
      </c>
      <c r="H399" s="15">
        <v>340</v>
      </c>
      <c r="I399" s="15">
        <v>72795</v>
      </c>
      <c r="J399" s="15">
        <v>72237</v>
      </c>
      <c r="K399" s="15">
        <v>170</v>
      </c>
      <c r="L399" s="15" t="s">
        <v>88</v>
      </c>
      <c r="M399" s="15">
        <v>6030</v>
      </c>
      <c r="N399" s="15" t="s">
        <v>81</v>
      </c>
    </row>
    <row r="400" spans="1:14" x14ac:dyDescent="0.3">
      <c r="A400" s="15" t="s">
        <v>557</v>
      </c>
      <c r="B400" s="15" t="s">
        <v>4</v>
      </c>
      <c r="C400" s="67">
        <v>45675</v>
      </c>
      <c r="D400" s="15" t="s">
        <v>109</v>
      </c>
      <c r="E400" s="15" t="s">
        <v>110</v>
      </c>
      <c r="F400" s="15">
        <v>1206</v>
      </c>
      <c r="G400" s="15">
        <v>238</v>
      </c>
      <c r="H400" s="15">
        <v>36</v>
      </c>
      <c r="I400" s="15">
        <v>9648</v>
      </c>
      <c r="J400" s="15">
        <v>9417</v>
      </c>
      <c r="K400" s="15">
        <v>237</v>
      </c>
      <c r="L400" s="15" t="s">
        <v>99</v>
      </c>
      <c r="M400" s="15">
        <v>1480</v>
      </c>
      <c r="N400" s="15" t="s">
        <v>81</v>
      </c>
    </row>
    <row r="401" spans="1:14" x14ac:dyDescent="0.3">
      <c r="A401" s="15" t="s">
        <v>557</v>
      </c>
      <c r="B401" s="15" t="s">
        <v>4</v>
      </c>
      <c r="C401" s="67">
        <v>45675</v>
      </c>
      <c r="D401" s="15" t="s">
        <v>109</v>
      </c>
      <c r="E401" s="15" t="s">
        <v>110</v>
      </c>
      <c r="F401" s="15">
        <v>1206</v>
      </c>
      <c r="G401" s="15">
        <v>238</v>
      </c>
      <c r="H401" s="15">
        <v>36</v>
      </c>
      <c r="I401" s="15">
        <v>9648</v>
      </c>
      <c r="J401" s="15">
        <v>9417</v>
      </c>
      <c r="K401" s="15">
        <v>237</v>
      </c>
      <c r="L401" s="15" t="s">
        <v>99</v>
      </c>
      <c r="M401" s="15">
        <v>1480</v>
      </c>
      <c r="N401" s="15" t="s">
        <v>118</v>
      </c>
    </row>
    <row r="402" spans="1:14" x14ac:dyDescent="0.3">
      <c r="A402" s="15" t="s">
        <v>558</v>
      </c>
      <c r="B402" s="15" t="s">
        <v>2</v>
      </c>
      <c r="C402" s="67">
        <v>45524</v>
      </c>
      <c r="D402" s="15" t="s">
        <v>79</v>
      </c>
      <c r="E402" s="15" t="s">
        <v>80</v>
      </c>
      <c r="F402" s="15">
        <v>2603</v>
      </c>
      <c r="G402" s="15">
        <v>690</v>
      </c>
      <c r="H402" s="15">
        <v>205</v>
      </c>
      <c r="I402" s="15">
        <v>13015</v>
      </c>
      <c r="J402" s="15">
        <v>12130</v>
      </c>
      <c r="K402" s="15">
        <v>20</v>
      </c>
      <c r="L402" s="15" t="s">
        <v>82</v>
      </c>
      <c r="M402" s="15">
        <v>3498</v>
      </c>
      <c r="N402" s="15" t="s">
        <v>104</v>
      </c>
    </row>
    <row r="403" spans="1:14" x14ac:dyDescent="0.3">
      <c r="A403" s="15" t="s">
        <v>560</v>
      </c>
      <c r="B403" s="15" t="s">
        <v>3</v>
      </c>
      <c r="C403" s="67">
        <v>45687</v>
      </c>
      <c r="D403" s="15" t="s">
        <v>109</v>
      </c>
      <c r="E403" s="15" t="s">
        <v>110</v>
      </c>
      <c r="F403" s="15">
        <v>59</v>
      </c>
      <c r="G403" s="15">
        <v>163</v>
      </c>
      <c r="H403" s="15">
        <v>93</v>
      </c>
      <c r="I403" s="15">
        <v>590</v>
      </c>
      <c r="J403" s="15">
        <v>475</v>
      </c>
      <c r="K403" s="15">
        <v>293</v>
      </c>
      <c r="L403" s="15" t="s">
        <v>115</v>
      </c>
      <c r="M403" s="15">
        <v>315</v>
      </c>
      <c r="N403" s="15" t="s">
        <v>104</v>
      </c>
    </row>
    <row r="404" spans="1:14" x14ac:dyDescent="0.3">
      <c r="A404" s="15" t="s">
        <v>562</v>
      </c>
      <c r="B404" s="15" t="s">
        <v>3</v>
      </c>
      <c r="C404" s="67">
        <v>45708</v>
      </c>
      <c r="D404" s="15" t="s">
        <v>102</v>
      </c>
      <c r="E404" s="15" t="s">
        <v>103</v>
      </c>
      <c r="F404" s="15">
        <v>1877</v>
      </c>
      <c r="G404" s="15">
        <v>745</v>
      </c>
      <c r="H404" s="15">
        <v>225</v>
      </c>
      <c r="I404" s="15">
        <v>11262</v>
      </c>
      <c r="J404" s="15">
        <v>10967</v>
      </c>
      <c r="K404" s="15">
        <v>41</v>
      </c>
      <c r="L404" s="15" t="s">
        <v>82</v>
      </c>
      <c r="M404" s="15">
        <v>2847</v>
      </c>
      <c r="N404" s="15" t="s">
        <v>118</v>
      </c>
    </row>
    <row r="405" spans="1:14" x14ac:dyDescent="0.3">
      <c r="A405" s="15" t="s">
        <v>562</v>
      </c>
      <c r="B405" s="15" t="s">
        <v>3</v>
      </c>
      <c r="C405" s="67">
        <v>45708</v>
      </c>
      <c r="D405" s="15" t="s">
        <v>102</v>
      </c>
      <c r="E405" s="15" t="s">
        <v>103</v>
      </c>
      <c r="F405" s="15">
        <v>1877</v>
      </c>
      <c r="G405" s="15">
        <v>745</v>
      </c>
      <c r="H405" s="15">
        <v>225</v>
      </c>
      <c r="I405" s="15">
        <v>11262</v>
      </c>
      <c r="J405" s="15">
        <v>10967</v>
      </c>
      <c r="K405" s="15">
        <v>41</v>
      </c>
      <c r="L405" s="15" t="s">
        <v>82</v>
      </c>
      <c r="M405" s="15">
        <v>2847</v>
      </c>
      <c r="N405" s="15" t="s">
        <v>81</v>
      </c>
    </row>
    <row r="406" spans="1:14" x14ac:dyDescent="0.3">
      <c r="A406" s="15" t="s">
        <v>564</v>
      </c>
      <c r="B406" s="15" t="s">
        <v>1</v>
      </c>
      <c r="C406" s="67">
        <v>45621</v>
      </c>
      <c r="D406" s="15" t="s">
        <v>94</v>
      </c>
      <c r="E406" s="15" t="s">
        <v>95</v>
      </c>
      <c r="F406" s="15">
        <v>4182</v>
      </c>
      <c r="G406" s="15">
        <v>640</v>
      </c>
      <c r="H406" s="15">
        <v>240</v>
      </c>
      <c r="I406" s="15">
        <v>50184</v>
      </c>
      <c r="J406" s="15">
        <v>49351</v>
      </c>
      <c r="K406" s="15">
        <v>10</v>
      </c>
      <c r="L406" s="15" t="s">
        <v>99</v>
      </c>
      <c r="M406" s="15">
        <v>5062</v>
      </c>
      <c r="N406" s="15" t="s">
        <v>81</v>
      </c>
    </row>
    <row r="407" spans="1:14" x14ac:dyDescent="0.3">
      <c r="A407" s="15" t="s">
        <v>564</v>
      </c>
      <c r="B407" s="15" t="s">
        <v>1</v>
      </c>
      <c r="C407" s="67">
        <v>45621</v>
      </c>
      <c r="D407" s="15" t="s">
        <v>94</v>
      </c>
      <c r="E407" s="15" t="s">
        <v>95</v>
      </c>
      <c r="F407" s="15">
        <v>4182</v>
      </c>
      <c r="G407" s="15">
        <v>640</v>
      </c>
      <c r="H407" s="15">
        <v>240</v>
      </c>
      <c r="I407" s="15">
        <v>50184</v>
      </c>
      <c r="J407" s="15">
        <v>49351</v>
      </c>
      <c r="K407" s="15">
        <v>10</v>
      </c>
      <c r="L407" s="15" t="s">
        <v>99</v>
      </c>
      <c r="M407" s="15">
        <v>5062</v>
      </c>
      <c r="N407" s="15" t="s">
        <v>118</v>
      </c>
    </row>
    <row r="408" spans="1:14" x14ac:dyDescent="0.3">
      <c r="A408" s="15" t="s">
        <v>565</v>
      </c>
      <c r="B408" s="15" t="s">
        <v>3</v>
      </c>
      <c r="C408" s="67">
        <v>45569</v>
      </c>
      <c r="D408" s="15" t="s">
        <v>79</v>
      </c>
      <c r="E408" s="15" t="s">
        <v>80</v>
      </c>
      <c r="F408" s="15">
        <v>4187</v>
      </c>
      <c r="G408" s="15">
        <v>66</v>
      </c>
      <c r="H408" s="15">
        <v>31</v>
      </c>
      <c r="I408" s="15">
        <v>66992</v>
      </c>
      <c r="J408" s="15">
        <v>66614</v>
      </c>
      <c r="K408" s="15">
        <v>62</v>
      </c>
      <c r="L408" s="15" t="s">
        <v>115</v>
      </c>
      <c r="M408" s="15">
        <v>4284</v>
      </c>
      <c r="N408" s="15" t="s">
        <v>118</v>
      </c>
    </row>
    <row r="409" spans="1:14" x14ac:dyDescent="0.3">
      <c r="A409" s="15" t="s">
        <v>566</v>
      </c>
      <c r="B409" s="15" t="s">
        <v>2</v>
      </c>
      <c r="C409" s="67">
        <v>45760</v>
      </c>
      <c r="D409" s="15" t="s">
        <v>79</v>
      </c>
      <c r="E409" s="15" t="s">
        <v>80</v>
      </c>
      <c r="F409" s="15">
        <v>4579</v>
      </c>
      <c r="G409" s="15">
        <v>125</v>
      </c>
      <c r="H409" s="15">
        <v>300</v>
      </c>
      <c r="I409" s="15">
        <v>59527</v>
      </c>
      <c r="J409" s="15">
        <v>59400</v>
      </c>
      <c r="K409" s="15">
        <v>269</v>
      </c>
      <c r="L409" s="15" t="s">
        <v>82</v>
      </c>
      <c r="M409" s="15">
        <v>5004</v>
      </c>
      <c r="N409" s="15" t="s">
        <v>118</v>
      </c>
    </row>
    <row r="410" spans="1:14" x14ac:dyDescent="0.3">
      <c r="A410" s="15" t="s">
        <v>566</v>
      </c>
      <c r="B410" s="15" t="s">
        <v>2</v>
      </c>
      <c r="C410" s="67">
        <v>45760</v>
      </c>
      <c r="D410" s="15" t="s">
        <v>79</v>
      </c>
      <c r="E410" s="15" t="s">
        <v>80</v>
      </c>
      <c r="F410" s="15">
        <v>4579</v>
      </c>
      <c r="G410" s="15">
        <v>125</v>
      </c>
      <c r="H410" s="15">
        <v>300</v>
      </c>
      <c r="I410" s="15">
        <v>59527</v>
      </c>
      <c r="J410" s="15">
        <v>59400</v>
      </c>
      <c r="K410" s="15">
        <v>269</v>
      </c>
      <c r="L410" s="15" t="s">
        <v>82</v>
      </c>
      <c r="M410" s="15">
        <v>5004</v>
      </c>
      <c r="N410" s="15" t="s">
        <v>87</v>
      </c>
    </row>
    <row r="411" spans="1:14" x14ac:dyDescent="0.3">
      <c r="A411" s="15" t="s">
        <v>568</v>
      </c>
      <c r="B411" s="15" t="s">
        <v>2</v>
      </c>
      <c r="C411" s="67">
        <v>45601</v>
      </c>
      <c r="D411" s="15" t="s">
        <v>129</v>
      </c>
      <c r="E411" s="15" t="s">
        <v>130</v>
      </c>
      <c r="F411" s="15">
        <v>4561</v>
      </c>
      <c r="G411" s="15">
        <v>51</v>
      </c>
      <c r="H411" s="15">
        <v>441</v>
      </c>
      <c r="I411" s="15">
        <v>22805</v>
      </c>
      <c r="J411" s="15">
        <v>21890</v>
      </c>
      <c r="K411" s="15">
        <v>45</v>
      </c>
      <c r="L411" s="15" t="s">
        <v>88</v>
      </c>
      <c r="M411" s="15">
        <v>5053</v>
      </c>
      <c r="N411" s="15" t="s">
        <v>118</v>
      </c>
    </row>
    <row r="412" spans="1:14" x14ac:dyDescent="0.3">
      <c r="A412" s="15" t="s">
        <v>570</v>
      </c>
      <c r="B412" s="15" t="s">
        <v>4</v>
      </c>
      <c r="C412" s="67">
        <v>45672</v>
      </c>
      <c r="D412" s="15" t="s">
        <v>79</v>
      </c>
      <c r="E412" s="15" t="s">
        <v>80</v>
      </c>
      <c r="F412" s="15">
        <v>3774</v>
      </c>
      <c r="G412" s="15">
        <v>239</v>
      </c>
      <c r="H412" s="15">
        <v>39</v>
      </c>
      <c r="I412" s="15">
        <v>60384</v>
      </c>
      <c r="J412" s="15">
        <v>59490</v>
      </c>
      <c r="K412" s="15">
        <v>241</v>
      </c>
      <c r="L412" s="15" t="s">
        <v>99</v>
      </c>
      <c r="M412" s="15">
        <v>4052</v>
      </c>
      <c r="N412" s="15" t="s">
        <v>137</v>
      </c>
    </row>
    <row r="413" spans="1:14" x14ac:dyDescent="0.3">
      <c r="A413" s="15" t="s">
        <v>571</v>
      </c>
      <c r="B413" s="15" t="s">
        <v>2</v>
      </c>
      <c r="C413" s="67">
        <v>45582</v>
      </c>
      <c r="D413" s="15" t="s">
        <v>129</v>
      </c>
      <c r="E413" s="15" t="s">
        <v>130</v>
      </c>
      <c r="F413" s="15">
        <v>3575</v>
      </c>
      <c r="G413" s="15">
        <v>749</v>
      </c>
      <c r="H413" s="15">
        <v>111</v>
      </c>
      <c r="I413" s="15">
        <v>21450</v>
      </c>
      <c r="J413" s="15">
        <v>20785</v>
      </c>
      <c r="K413" s="15">
        <v>195</v>
      </c>
      <c r="L413" s="15" t="s">
        <v>99</v>
      </c>
      <c r="M413" s="15">
        <v>4435</v>
      </c>
      <c r="N413" s="15" t="s">
        <v>137</v>
      </c>
    </row>
    <row r="414" spans="1:14" x14ac:dyDescent="0.3">
      <c r="A414" s="15" t="s">
        <v>573</v>
      </c>
      <c r="B414" s="15" t="s">
        <v>2</v>
      </c>
      <c r="C414" s="67">
        <v>45743</v>
      </c>
      <c r="D414" s="15" t="s">
        <v>85</v>
      </c>
      <c r="E414" s="15" t="s">
        <v>86</v>
      </c>
      <c r="F414" s="15">
        <v>4941</v>
      </c>
      <c r="G414" s="15">
        <v>414</v>
      </c>
      <c r="H414" s="15">
        <v>266</v>
      </c>
      <c r="I414" s="15">
        <v>39528</v>
      </c>
      <c r="J414" s="15">
        <v>39154</v>
      </c>
      <c r="K414" s="15">
        <v>217</v>
      </c>
      <c r="L414" s="15" t="s">
        <v>88</v>
      </c>
      <c r="M414" s="15">
        <v>5621</v>
      </c>
      <c r="N414" s="15" t="s">
        <v>81</v>
      </c>
    </row>
    <row r="415" spans="1:14" x14ac:dyDescent="0.3">
      <c r="A415" s="15" t="s">
        <v>574</v>
      </c>
      <c r="B415" s="15" t="s">
        <v>4</v>
      </c>
      <c r="C415" s="67">
        <v>45577</v>
      </c>
      <c r="D415" s="15" t="s">
        <v>94</v>
      </c>
      <c r="E415" s="15" t="s">
        <v>95</v>
      </c>
      <c r="F415" s="15">
        <v>3641</v>
      </c>
      <c r="G415" s="15">
        <v>226</v>
      </c>
      <c r="H415" s="15">
        <v>46</v>
      </c>
      <c r="I415" s="15">
        <v>40051</v>
      </c>
      <c r="J415" s="15">
        <v>39319</v>
      </c>
      <c r="K415" s="15">
        <v>296</v>
      </c>
      <c r="L415" s="15" t="s">
        <v>88</v>
      </c>
      <c r="M415" s="15">
        <v>3913</v>
      </c>
      <c r="N415" s="15" t="s">
        <v>104</v>
      </c>
    </row>
    <row r="416" spans="1:14" x14ac:dyDescent="0.3">
      <c r="A416" s="15" t="s">
        <v>576</v>
      </c>
      <c r="B416" s="15" t="s">
        <v>3</v>
      </c>
      <c r="C416" s="67">
        <v>45658</v>
      </c>
      <c r="D416" s="15" t="s">
        <v>102</v>
      </c>
      <c r="E416" s="15" t="s">
        <v>103</v>
      </c>
      <c r="F416" s="15">
        <v>3535</v>
      </c>
      <c r="G416" s="15">
        <v>494</v>
      </c>
      <c r="H416" s="15">
        <v>152</v>
      </c>
      <c r="I416" s="15">
        <v>53025</v>
      </c>
      <c r="J416" s="15">
        <v>52791</v>
      </c>
      <c r="K416" s="15">
        <v>44</v>
      </c>
      <c r="L416" s="15" t="s">
        <v>88</v>
      </c>
      <c r="M416" s="15">
        <v>4181</v>
      </c>
      <c r="N416" s="15" t="s">
        <v>104</v>
      </c>
    </row>
    <row r="417" spans="1:14" x14ac:dyDescent="0.3">
      <c r="A417" s="15" t="s">
        <v>576</v>
      </c>
      <c r="B417" s="15" t="s">
        <v>3</v>
      </c>
      <c r="C417" s="67">
        <v>45658</v>
      </c>
      <c r="D417" s="15" t="s">
        <v>102</v>
      </c>
      <c r="E417" s="15" t="s">
        <v>103</v>
      </c>
      <c r="F417" s="15">
        <v>3535</v>
      </c>
      <c r="G417" s="15">
        <v>494</v>
      </c>
      <c r="H417" s="15">
        <v>152</v>
      </c>
      <c r="I417" s="15">
        <v>53025</v>
      </c>
      <c r="J417" s="15">
        <v>52791</v>
      </c>
      <c r="K417" s="15">
        <v>44</v>
      </c>
      <c r="L417" s="15" t="s">
        <v>88</v>
      </c>
      <c r="M417" s="15">
        <v>4181</v>
      </c>
      <c r="N417" s="15" t="s">
        <v>118</v>
      </c>
    </row>
    <row r="418" spans="1:14" x14ac:dyDescent="0.3">
      <c r="A418" s="15" t="s">
        <v>577</v>
      </c>
      <c r="B418" s="15" t="s">
        <v>1</v>
      </c>
      <c r="C418" s="67">
        <v>45509</v>
      </c>
      <c r="D418" s="15" t="s">
        <v>79</v>
      </c>
      <c r="E418" s="15" t="s">
        <v>80</v>
      </c>
      <c r="F418" s="15">
        <v>1741</v>
      </c>
      <c r="G418" s="15">
        <v>831</v>
      </c>
      <c r="H418" s="15">
        <v>345</v>
      </c>
      <c r="I418" s="15">
        <v>17410</v>
      </c>
      <c r="J418" s="15">
        <v>16844</v>
      </c>
      <c r="K418" s="15">
        <v>58</v>
      </c>
      <c r="L418" s="15" t="s">
        <v>115</v>
      </c>
      <c r="M418" s="15">
        <v>2917</v>
      </c>
      <c r="N418" s="15" t="s">
        <v>87</v>
      </c>
    </row>
    <row r="419" spans="1:14" x14ac:dyDescent="0.3">
      <c r="A419" s="15" t="s">
        <v>577</v>
      </c>
      <c r="B419" s="15" t="s">
        <v>1</v>
      </c>
      <c r="C419" s="67">
        <v>45509</v>
      </c>
      <c r="D419" s="15" t="s">
        <v>79</v>
      </c>
      <c r="E419" s="15" t="s">
        <v>80</v>
      </c>
      <c r="F419" s="15">
        <v>1741</v>
      </c>
      <c r="G419" s="15">
        <v>831</v>
      </c>
      <c r="H419" s="15">
        <v>345</v>
      </c>
      <c r="I419" s="15">
        <v>17410</v>
      </c>
      <c r="J419" s="15">
        <v>16844</v>
      </c>
      <c r="K419" s="15">
        <v>58</v>
      </c>
      <c r="L419" s="15" t="s">
        <v>115</v>
      </c>
      <c r="M419" s="15">
        <v>2917</v>
      </c>
      <c r="N419" s="15" t="s">
        <v>137</v>
      </c>
    </row>
    <row r="420" spans="1:14" x14ac:dyDescent="0.3">
      <c r="A420" s="15" t="s">
        <v>578</v>
      </c>
      <c r="B420" s="15" t="s">
        <v>3</v>
      </c>
      <c r="C420" s="67">
        <v>45450</v>
      </c>
      <c r="D420" s="15" t="s">
        <v>102</v>
      </c>
      <c r="E420" s="15" t="s">
        <v>103</v>
      </c>
      <c r="F420" s="15">
        <v>1556</v>
      </c>
      <c r="G420" s="15">
        <v>195</v>
      </c>
      <c r="H420" s="15">
        <v>131</v>
      </c>
      <c r="I420" s="15">
        <v>9336</v>
      </c>
      <c r="J420" s="15">
        <v>8875</v>
      </c>
      <c r="K420" s="15">
        <v>137</v>
      </c>
      <c r="L420" s="15" t="s">
        <v>88</v>
      </c>
      <c r="M420" s="15">
        <v>1882</v>
      </c>
      <c r="N420" s="15" t="s">
        <v>87</v>
      </c>
    </row>
    <row r="421" spans="1:14" x14ac:dyDescent="0.3">
      <c r="A421" s="15" t="s">
        <v>580</v>
      </c>
      <c r="B421" s="15" t="s">
        <v>1</v>
      </c>
      <c r="C421" s="67">
        <v>45753</v>
      </c>
      <c r="D421" s="15" t="s">
        <v>109</v>
      </c>
      <c r="E421" s="15" t="s">
        <v>110</v>
      </c>
      <c r="F421" s="15">
        <v>4236</v>
      </c>
      <c r="G421" s="15">
        <v>711</v>
      </c>
      <c r="H421" s="15">
        <v>298</v>
      </c>
      <c r="I421" s="15">
        <v>21180</v>
      </c>
      <c r="J421" s="15">
        <v>20516</v>
      </c>
      <c r="K421" s="15">
        <v>238</v>
      </c>
      <c r="L421" s="15" t="s">
        <v>115</v>
      </c>
      <c r="M421" s="15">
        <v>5245</v>
      </c>
      <c r="N421" s="15" t="s">
        <v>104</v>
      </c>
    </row>
    <row r="422" spans="1:14" x14ac:dyDescent="0.3">
      <c r="A422" s="15" t="s">
        <v>580</v>
      </c>
      <c r="B422" s="15" t="s">
        <v>1</v>
      </c>
      <c r="C422" s="67">
        <v>45753</v>
      </c>
      <c r="D422" s="15" t="s">
        <v>109</v>
      </c>
      <c r="E422" s="15" t="s">
        <v>110</v>
      </c>
      <c r="F422" s="15">
        <v>4236</v>
      </c>
      <c r="G422" s="15">
        <v>711</v>
      </c>
      <c r="H422" s="15">
        <v>298</v>
      </c>
      <c r="I422" s="15">
        <v>21180</v>
      </c>
      <c r="J422" s="15">
        <v>20516</v>
      </c>
      <c r="K422" s="15">
        <v>238</v>
      </c>
      <c r="L422" s="15" t="s">
        <v>115</v>
      </c>
      <c r="M422" s="15">
        <v>5245</v>
      </c>
      <c r="N422" s="15" t="s">
        <v>81</v>
      </c>
    </row>
    <row r="423" spans="1:14" x14ac:dyDescent="0.3">
      <c r="A423" s="15" t="s">
        <v>581</v>
      </c>
      <c r="B423" s="15" t="s">
        <v>3</v>
      </c>
      <c r="C423" s="67">
        <v>45622</v>
      </c>
      <c r="D423" s="15" t="s">
        <v>85</v>
      </c>
      <c r="E423" s="15" t="s">
        <v>86</v>
      </c>
      <c r="F423" s="15">
        <v>4516</v>
      </c>
      <c r="G423" s="15">
        <v>836</v>
      </c>
      <c r="H423" s="15">
        <v>169</v>
      </c>
      <c r="I423" s="15">
        <v>49676</v>
      </c>
      <c r="J423" s="15">
        <v>49257</v>
      </c>
      <c r="K423" s="15">
        <v>282</v>
      </c>
      <c r="L423" s="15" t="s">
        <v>82</v>
      </c>
      <c r="M423" s="15">
        <v>5521</v>
      </c>
      <c r="N423" s="15" t="s">
        <v>104</v>
      </c>
    </row>
    <row r="424" spans="1:14" x14ac:dyDescent="0.3">
      <c r="A424" s="15" t="s">
        <v>583</v>
      </c>
      <c r="B424" s="15" t="s">
        <v>4</v>
      </c>
      <c r="C424" s="67">
        <v>45537</v>
      </c>
      <c r="D424" s="15" t="s">
        <v>109</v>
      </c>
      <c r="E424" s="15" t="s">
        <v>110</v>
      </c>
      <c r="F424" s="15">
        <v>4905</v>
      </c>
      <c r="G424" s="15">
        <v>845</v>
      </c>
      <c r="H424" s="15">
        <v>129</v>
      </c>
      <c r="I424" s="15">
        <v>98100</v>
      </c>
      <c r="J424" s="15">
        <v>97772</v>
      </c>
      <c r="K424" s="15">
        <v>279</v>
      </c>
      <c r="L424" s="15" t="s">
        <v>115</v>
      </c>
      <c r="M424" s="15">
        <v>5879</v>
      </c>
      <c r="N424" s="15" t="s">
        <v>104</v>
      </c>
    </row>
    <row r="425" spans="1:14" x14ac:dyDescent="0.3">
      <c r="A425" s="15" t="s">
        <v>584</v>
      </c>
      <c r="B425" s="15" t="s">
        <v>4</v>
      </c>
      <c r="C425" s="67">
        <v>45586</v>
      </c>
      <c r="D425" s="15" t="s">
        <v>129</v>
      </c>
      <c r="E425" s="15" t="s">
        <v>130</v>
      </c>
      <c r="F425" s="15">
        <v>4275</v>
      </c>
      <c r="G425" s="15">
        <v>680</v>
      </c>
      <c r="H425" s="15">
        <v>385</v>
      </c>
      <c r="I425" s="15">
        <v>64125</v>
      </c>
      <c r="J425" s="15">
        <v>63650</v>
      </c>
      <c r="K425" s="15">
        <v>104</v>
      </c>
      <c r="L425" s="15" t="s">
        <v>115</v>
      </c>
      <c r="M425" s="15">
        <v>5340</v>
      </c>
      <c r="N425" s="15" t="s">
        <v>118</v>
      </c>
    </row>
    <row r="426" spans="1:14" x14ac:dyDescent="0.3">
      <c r="A426" s="15" t="s">
        <v>585</v>
      </c>
      <c r="B426" s="15" t="s">
        <v>4</v>
      </c>
      <c r="C426" s="67">
        <v>45738</v>
      </c>
      <c r="D426" s="15" t="s">
        <v>109</v>
      </c>
      <c r="E426" s="15" t="s">
        <v>110</v>
      </c>
      <c r="F426" s="15">
        <v>3166</v>
      </c>
      <c r="G426" s="15">
        <v>90</v>
      </c>
      <c r="H426" s="15">
        <v>341</v>
      </c>
      <c r="I426" s="15">
        <v>56988</v>
      </c>
      <c r="J426" s="15">
        <v>56125</v>
      </c>
      <c r="K426" s="15">
        <v>135</v>
      </c>
      <c r="L426" s="15" t="s">
        <v>88</v>
      </c>
      <c r="M426" s="15">
        <v>3597</v>
      </c>
      <c r="N426" s="15" t="s">
        <v>87</v>
      </c>
    </row>
    <row r="427" spans="1:14" x14ac:dyDescent="0.3">
      <c r="A427" s="15" t="s">
        <v>585</v>
      </c>
      <c r="B427" s="15" t="s">
        <v>4</v>
      </c>
      <c r="C427" s="67">
        <v>45738</v>
      </c>
      <c r="D427" s="15" t="s">
        <v>109</v>
      </c>
      <c r="E427" s="15" t="s">
        <v>110</v>
      </c>
      <c r="F427" s="15">
        <v>3166</v>
      </c>
      <c r="G427" s="15">
        <v>90</v>
      </c>
      <c r="H427" s="15">
        <v>341</v>
      </c>
      <c r="I427" s="15">
        <v>56988</v>
      </c>
      <c r="J427" s="15">
        <v>56125</v>
      </c>
      <c r="K427" s="15">
        <v>135</v>
      </c>
      <c r="L427" s="15" t="s">
        <v>88</v>
      </c>
      <c r="M427" s="15">
        <v>3597</v>
      </c>
      <c r="N427" s="15" t="s">
        <v>118</v>
      </c>
    </row>
    <row r="428" spans="1:14" x14ac:dyDescent="0.3">
      <c r="A428" s="15" t="s">
        <v>587</v>
      </c>
      <c r="B428" s="15" t="s">
        <v>2</v>
      </c>
      <c r="C428" s="67">
        <v>45568</v>
      </c>
      <c r="D428" s="15" t="s">
        <v>129</v>
      </c>
      <c r="E428" s="15" t="s">
        <v>130</v>
      </c>
      <c r="F428" s="15">
        <v>1488</v>
      </c>
      <c r="G428" s="15">
        <v>417</v>
      </c>
      <c r="H428" s="15">
        <v>168</v>
      </c>
      <c r="I428" s="15">
        <v>19344</v>
      </c>
      <c r="J428" s="15">
        <v>18395</v>
      </c>
      <c r="K428" s="15">
        <v>30</v>
      </c>
      <c r="L428" s="15" t="s">
        <v>82</v>
      </c>
      <c r="M428" s="15">
        <v>2073</v>
      </c>
      <c r="N428" s="15" t="s">
        <v>81</v>
      </c>
    </row>
    <row r="429" spans="1:14" x14ac:dyDescent="0.3">
      <c r="A429" s="15" t="s">
        <v>589</v>
      </c>
      <c r="B429" s="15" t="s">
        <v>3</v>
      </c>
      <c r="C429" s="67">
        <v>45786</v>
      </c>
      <c r="D429" s="15" t="s">
        <v>79</v>
      </c>
      <c r="E429" s="15" t="s">
        <v>80</v>
      </c>
      <c r="F429" s="15">
        <v>3367</v>
      </c>
      <c r="G429" s="15">
        <v>302</v>
      </c>
      <c r="H429" s="15">
        <v>57</v>
      </c>
      <c r="I429" s="15">
        <v>63973</v>
      </c>
      <c r="J429" s="15">
        <v>63789</v>
      </c>
      <c r="K429" s="15">
        <v>157</v>
      </c>
      <c r="L429" s="15" t="s">
        <v>99</v>
      </c>
      <c r="M429" s="15">
        <v>3726</v>
      </c>
      <c r="N429" s="15" t="s">
        <v>104</v>
      </c>
    </row>
    <row r="430" spans="1:14" x14ac:dyDescent="0.3">
      <c r="A430" s="15" t="s">
        <v>589</v>
      </c>
      <c r="B430" s="15" t="s">
        <v>3</v>
      </c>
      <c r="C430" s="67">
        <v>45786</v>
      </c>
      <c r="D430" s="15" t="s">
        <v>79</v>
      </c>
      <c r="E430" s="15" t="s">
        <v>80</v>
      </c>
      <c r="F430" s="15">
        <v>3367</v>
      </c>
      <c r="G430" s="15">
        <v>302</v>
      </c>
      <c r="H430" s="15">
        <v>57</v>
      </c>
      <c r="I430" s="15">
        <v>63973</v>
      </c>
      <c r="J430" s="15">
        <v>63789</v>
      </c>
      <c r="K430" s="15">
        <v>157</v>
      </c>
      <c r="L430" s="15" t="s">
        <v>99</v>
      </c>
      <c r="M430" s="15">
        <v>3726</v>
      </c>
      <c r="N430" s="15" t="s">
        <v>87</v>
      </c>
    </row>
    <row r="431" spans="1:14" x14ac:dyDescent="0.3">
      <c r="A431" s="15" t="s">
        <v>591</v>
      </c>
      <c r="B431" s="15" t="s">
        <v>3</v>
      </c>
      <c r="C431" s="67">
        <v>45552</v>
      </c>
      <c r="D431" s="15" t="s">
        <v>85</v>
      </c>
      <c r="E431" s="15" t="s">
        <v>86</v>
      </c>
      <c r="F431" s="15">
        <v>571</v>
      </c>
      <c r="G431" s="15">
        <v>190</v>
      </c>
      <c r="H431" s="15">
        <v>352</v>
      </c>
      <c r="I431" s="15">
        <v>9707</v>
      </c>
      <c r="J431" s="15">
        <v>9418</v>
      </c>
      <c r="K431" s="15">
        <v>231</v>
      </c>
      <c r="L431" s="15" t="s">
        <v>88</v>
      </c>
      <c r="M431" s="15">
        <v>1113</v>
      </c>
      <c r="N431" s="15" t="s">
        <v>137</v>
      </c>
    </row>
    <row r="432" spans="1:14" x14ac:dyDescent="0.3">
      <c r="A432" s="15" t="s">
        <v>592</v>
      </c>
      <c r="B432" s="15" t="s">
        <v>4</v>
      </c>
      <c r="C432" s="67">
        <v>45491</v>
      </c>
      <c r="D432" s="15" t="s">
        <v>85</v>
      </c>
      <c r="E432" s="15" t="s">
        <v>86</v>
      </c>
      <c r="F432" s="15">
        <v>4021</v>
      </c>
      <c r="G432" s="15">
        <v>794</v>
      </c>
      <c r="H432" s="15">
        <v>77</v>
      </c>
      <c r="I432" s="15">
        <v>36189</v>
      </c>
      <c r="J432" s="15">
        <v>35505</v>
      </c>
      <c r="K432" s="15">
        <v>174</v>
      </c>
      <c r="L432" s="15" t="s">
        <v>82</v>
      </c>
      <c r="M432" s="15">
        <v>4892</v>
      </c>
      <c r="N432" s="15" t="s">
        <v>137</v>
      </c>
    </row>
    <row r="433" spans="1:14" x14ac:dyDescent="0.3">
      <c r="A433" s="15" t="s">
        <v>592</v>
      </c>
      <c r="B433" s="15" t="s">
        <v>4</v>
      </c>
      <c r="C433" s="67">
        <v>45491</v>
      </c>
      <c r="D433" s="15" t="s">
        <v>85</v>
      </c>
      <c r="E433" s="15" t="s">
        <v>86</v>
      </c>
      <c r="F433" s="15">
        <v>4021</v>
      </c>
      <c r="G433" s="15">
        <v>794</v>
      </c>
      <c r="H433" s="15">
        <v>77</v>
      </c>
      <c r="I433" s="15">
        <v>36189</v>
      </c>
      <c r="J433" s="15">
        <v>35505</v>
      </c>
      <c r="K433" s="15">
        <v>174</v>
      </c>
      <c r="L433" s="15" t="s">
        <v>82</v>
      </c>
      <c r="M433" s="15">
        <v>4892</v>
      </c>
      <c r="N433" s="15" t="s">
        <v>118</v>
      </c>
    </row>
    <row r="434" spans="1:14" x14ac:dyDescent="0.3">
      <c r="A434" s="15" t="s">
        <v>593</v>
      </c>
      <c r="B434" s="15" t="s">
        <v>4</v>
      </c>
      <c r="C434" s="67">
        <v>45560</v>
      </c>
      <c r="D434" s="15" t="s">
        <v>129</v>
      </c>
      <c r="E434" s="15" t="s">
        <v>130</v>
      </c>
      <c r="F434" s="15">
        <v>3389</v>
      </c>
      <c r="G434" s="15">
        <v>344</v>
      </c>
      <c r="H434" s="15">
        <v>229</v>
      </c>
      <c r="I434" s="15">
        <v>20334</v>
      </c>
      <c r="J434" s="15">
        <v>19443</v>
      </c>
      <c r="K434" s="15">
        <v>228</v>
      </c>
      <c r="L434" s="15" t="s">
        <v>88</v>
      </c>
      <c r="M434" s="15">
        <v>3962</v>
      </c>
      <c r="N434" s="15" t="s">
        <v>87</v>
      </c>
    </row>
    <row r="435" spans="1:14" x14ac:dyDescent="0.3">
      <c r="A435" s="15" t="s">
        <v>593</v>
      </c>
      <c r="B435" s="15" t="s">
        <v>4</v>
      </c>
      <c r="C435" s="67">
        <v>45560</v>
      </c>
      <c r="D435" s="15" t="s">
        <v>129</v>
      </c>
      <c r="E435" s="15" t="s">
        <v>130</v>
      </c>
      <c r="F435" s="15">
        <v>3389</v>
      </c>
      <c r="G435" s="15">
        <v>344</v>
      </c>
      <c r="H435" s="15">
        <v>229</v>
      </c>
      <c r="I435" s="15">
        <v>20334</v>
      </c>
      <c r="J435" s="15">
        <v>19443</v>
      </c>
      <c r="K435" s="15">
        <v>228</v>
      </c>
      <c r="L435" s="15" t="s">
        <v>88</v>
      </c>
      <c r="M435" s="15">
        <v>3962</v>
      </c>
      <c r="N435" s="15" t="s">
        <v>81</v>
      </c>
    </row>
    <row r="436" spans="1:14" x14ac:dyDescent="0.3">
      <c r="A436" s="15" t="s">
        <v>595</v>
      </c>
      <c r="B436" s="15" t="s">
        <v>2</v>
      </c>
      <c r="C436" s="67">
        <v>45519</v>
      </c>
      <c r="D436" s="15" t="s">
        <v>79</v>
      </c>
      <c r="E436" s="15" t="s">
        <v>80</v>
      </c>
      <c r="F436" s="15">
        <v>1164</v>
      </c>
      <c r="G436" s="15">
        <v>616</v>
      </c>
      <c r="H436" s="15">
        <v>324</v>
      </c>
      <c r="I436" s="15">
        <v>6984</v>
      </c>
      <c r="J436" s="15">
        <v>6636</v>
      </c>
      <c r="K436" s="15">
        <v>82</v>
      </c>
      <c r="L436" s="15" t="s">
        <v>99</v>
      </c>
      <c r="M436" s="15">
        <v>2104</v>
      </c>
      <c r="N436" s="15" t="s">
        <v>87</v>
      </c>
    </row>
    <row r="437" spans="1:14" x14ac:dyDescent="0.3">
      <c r="A437" s="15" t="s">
        <v>595</v>
      </c>
      <c r="B437" s="15" t="s">
        <v>2</v>
      </c>
      <c r="C437" s="67">
        <v>45519</v>
      </c>
      <c r="D437" s="15" t="s">
        <v>79</v>
      </c>
      <c r="E437" s="15" t="s">
        <v>80</v>
      </c>
      <c r="F437" s="15">
        <v>1164</v>
      </c>
      <c r="G437" s="15">
        <v>616</v>
      </c>
      <c r="H437" s="15">
        <v>324</v>
      </c>
      <c r="I437" s="15">
        <v>6984</v>
      </c>
      <c r="J437" s="15">
        <v>6636</v>
      </c>
      <c r="K437" s="15">
        <v>82</v>
      </c>
      <c r="L437" s="15" t="s">
        <v>99</v>
      </c>
      <c r="M437" s="15">
        <v>2104</v>
      </c>
      <c r="N437" s="15" t="s">
        <v>104</v>
      </c>
    </row>
    <row r="438" spans="1:14" x14ac:dyDescent="0.3">
      <c r="A438" s="15" t="s">
        <v>596</v>
      </c>
      <c r="B438" s="15" t="s">
        <v>4</v>
      </c>
      <c r="C438" s="67">
        <v>45764</v>
      </c>
      <c r="D438" s="15" t="s">
        <v>102</v>
      </c>
      <c r="E438" s="15" t="s">
        <v>103</v>
      </c>
      <c r="F438" s="15">
        <v>4780</v>
      </c>
      <c r="G438" s="15">
        <v>691</v>
      </c>
      <c r="H438" s="15">
        <v>380</v>
      </c>
      <c r="I438" s="15">
        <v>86040</v>
      </c>
      <c r="J438" s="15">
        <v>85743</v>
      </c>
      <c r="K438" s="15">
        <v>262</v>
      </c>
      <c r="L438" s="15" t="s">
        <v>99</v>
      </c>
      <c r="M438" s="15">
        <v>5851</v>
      </c>
      <c r="N438" s="15" t="s">
        <v>87</v>
      </c>
    </row>
    <row r="439" spans="1:14" x14ac:dyDescent="0.3">
      <c r="A439" s="15" t="s">
        <v>596</v>
      </c>
      <c r="B439" s="15" t="s">
        <v>4</v>
      </c>
      <c r="C439" s="67">
        <v>45764</v>
      </c>
      <c r="D439" s="15" t="s">
        <v>102</v>
      </c>
      <c r="E439" s="15" t="s">
        <v>103</v>
      </c>
      <c r="F439" s="15">
        <v>4780</v>
      </c>
      <c r="G439" s="15">
        <v>691</v>
      </c>
      <c r="H439" s="15">
        <v>380</v>
      </c>
      <c r="I439" s="15">
        <v>86040</v>
      </c>
      <c r="J439" s="15">
        <v>85743</v>
      </c>
      <c r="K439" s="15">
        <v>262</v>
      </c>
      <c r="L439" s="15" t="s">
        <v>99</v>
      </c>
      <c r="M439" s="15">
        <v>5851</v>
      </c>
      <c r="N439" s="15" t="s">
        <v>137</v>
      </c>
    </row>
    <row r="440" spans="1:14" x14ac:dyDescent="0.3">
      <c r="A440" s="15" t="s">
        <v>598</v>
      </c>
      <c r="B440" s="15" t="s">
        <v>1</v>
      </c>
      <c r="C440" s="67">
        <v>45624</v>
      </c>
      <c r="D440" s="15" t="s">
        <v>102</v>
      </c>
      <c r="E440" s="15" t="s">
        <v>103</v>
      </c>
      <c r="F440" s="15">
        <v>2751</v>
      </c>
      <c r="G440" s="15">
        <v>33</v>
      </c>
      <c r="H440" s="15">
        <v>430</v>
      </c>
      <c r="I440" s="15">
        <v>44016</v>
      </c>
      <c r="J440" s="15">
        <v>43415</v>
      </c>
      <c r="K440" s="15">
        <v>129</v>
      </c>
      <c r="L440" s="15" t="s">
        <v>88</v>
      </c>
      <c r="M440" s="15">
        <v>3214</v>
      </c>
      <c r="N440" s="15" t="s">
        <v>104</v>
      </c>
    </row>
    <row r="441" spans="1:14" x14ac:dyDescent="0.3">
      <c r="A441" s="15" t="s">
        <v>598</v>
      </c>
      <c r="B441" s="15" t="s">
        <v>1</v>
      </c>
      <c r="C441" s="67">
        <v>45624</v>
      </c>
      <c r="D441" s="15" t="s">
        <v>102</v>
      </c>
      <c r="E441" s="15" t="s">
        <v>103</v>
      </c>
      <c r="F441" s="15">
        <v>2751</v>
      </c>
      <c r="G441" s="15">
        <v>33</v>
      </c>
      <c r="H441" s="15">
        <v>430</v>
      </c>
      <c r="I441" s="15">
        <v>44016</v>
      </c>
      <c r="J441" s="15">
        <v>43415</v>
      </c>
      <c r="K441" s="15">
        <v>129</v>
      </c>
      <c r="L441" s="15" t="s">
        <v>88</v>
      </c>
      <c r="M441" s="15">
        <v>3214</v>
      </c>
      <c r="N441" s="15" t="s">
        <v>118</v>
      </c>
    </row>
    <row r="442" spans="1:14" x14ac:dyDescent="0.3">
      <c r="A442" s="15" t="s">
        <v>599</v>
      </c>
      <c r="B442" s="15" t="s">
        <v>2</v>
      </c>
      <c r="C442" s="67">
        <v>45646</v>
      </c>
      <c r="D442" s="15" t="s">
        <v>102</v>
      </c>
      <c r="E442" s="15" t="s">
        <v>103</v>
      </c>
      <c r="F442" s="15">
        <v>2107</v>
      </c>
      <c r="G442" s="15">
        <v>550</v>
      </c>
      <c r="H442" s="15">
        <v>349</v>
      </c>
      <c r="I442" s="15">
        <v>35819</v>
      </c>
      <c r="J442" s="15">
        <v>35340</v>
      </c>
      <c r="K442" s="15">
        <v>191</v>
      </c>
      <c r="L442" s="15" t="s">
        <v>99</v>
      </c>
      <c r="M442" s="15">
        <v>3006</v>
      </c>
      <c r="N442" s="15" t="s">
        <v>104</v>
      </c>
    </row>
    <row r="443" spans="1:14" x14ac:dyDescent="0.3">
      <c r="A443" s="15" t="s">
        <v>601</v>
      </c>
      <c r="B443" s="15" t="s">
        <v>1</v>
      </c>
      <c r="C443" s="67">
        <v>45602</v>
      </c>
      <c r="D443" s="15" t="s">
        <v>129</v>
      </c>
      <c r="E443" s="15" t="s">
        <v>130</v>
      </c>
      <c r="F443" s="15">
        <v>4663</v>
      </c>
      <c r="G443" s="15">
        <v>145</v>
      </c>
      <c r="H443" s="15">
        <v>225</v>
      </c>
      <c r="I443" s="15">
        <v>69945</v>
      </c>
      <c r="J443" s="15">
        <v>69596</v>
      </c>
      <c r="K443" s="15">
        <v>35</v>
      </c>
      <c r="L443" s="15" t="s">
        <v>88</v>
      </c>
      <c r="M443" s="15">
        <v>5033</v>
      </c>
      <c r="N443" s="15" t="s">
        <v>87</v>
      </c>
    </row>
    <row r="444" spans="1:14" x14ac:dyDescent="0.3">
      <c r="A444" s="15" t="s">
        <v>602</v>
      </c>
      <c r="B444" s="15" t="s">
        <v>1</v>
      </c>
      <c r="C444" s="67">
        <v>45613</v>
      </c>
      <c r="D444" s="15" t="s">
        <v>85</v>
      </c>
      <c r="E444" s="15" t="s">
        <v>86</v>
      </c>
      <c r="F444" s="15">
        <v>880</v>
      </c>
      <c r="G444" s="15">
        <v>297</v>
      </c>
      <c r="H444" s="15">
        <v>345</v>
      </c>
      <c r="I444" s="15">
        <v>12320</v>
      </c>
      <c r="J444" s="15">
        <v>11978</v>
      </c>
      <c r="K444" s="15">
        <v>238</v>
      </c>
      <c r="L444" s="15" t="s">
        <v>88</v>
      </c>
      <c r="M444" s="15">
        <v>1522</v>
      </c>
      <c r="N444" s="15" t="s">
        <v>81</v>
      </c>
    </row>
    <row r="445" spans="1:14" x14ac:dyDescent="0.3">
      <c r="A445" s="15" t="s">
        <v>604</v>
      </c>
      <c r="B445" s="15" t="s">
        <v>1</v>
      </c>
      <c r="C445" s="67">
        <v>45791</v>
      </c>
      <c r="D445" s="15" t="s">
        <v>85</v>
      </c>
      <c r="E445" s="15" t="s">
        <v>86</v>
      </c>
      <c r="F445" s="15">
        <v>2634</v>
      </c>
      <c r="G445" s="15">
        <v>726</v>
      </c>
      <c r="H445" s="15">
        <v>241</v>
      </c>
      <c r="I445" s="15">
        <v>28974</v>
      </c>
      <c r="J445" s="15">
        <v>28102</v>
      </c>
      <c r="K445" s="15">
        <v>277</v>
      </c>
      <c r="L445" s="15" t="s">
        <v>99</v>
      </c>
      <c r="M445" s="15">
        <v>3601</v>
      </c>
      <c r="N445" s="15" t="s">
        <v>118</v>
      </c>
    </row>
    <row r="446" spans="1:14" x14ac:dyDescent="0.3">
      <c r="A446" s="15" t="s">
        <v>606</v>
      </c>
      <c r="B446" s="15" t="s">
        <v>1</v>
      </c>
      <c r="C446" s="67">
        <v>45462</v>
      </c>
      <c r="D446" s="15" t="s">
        <v>102</v>
      </c>
      <c r="E446" s="15" t="s">
        <v>103</v>
      </c>
      <c r="F446" s="15">
        <v>4731</v>
      </c>
      <c r="G446" s="15">
        <v>173</v>
      </c>
      <c r="H446" s="15">
        <v>276</v>
      </c>
      <c r="I446" s="15">
        <v>28386</v>
      </c>
      <c r="J446" s="15">
        <v>28185</v>
      </c>
      <c r="K446" s="15">
        <v>89</v>
      </c>
      <c r="L446" s="15" t="s">
        <v>115</v>
      </c>
      <c r="M446" s="15">
        <v>5180</v>
      </c>
      <c r="N446" s="15" t="s">
        <v>104</v>
      </c>
    </row>
    <row r="447" spans="1:14" x14ac:dyDescent="0.3">
      <c r="A447" s="15" t="s">
        <v>606</v>
      </c>
      <c r="B447" s="15" t="s">
        <v>1</v>
      </c>
      <c r="C447" s="67">
        <v>45462</v>
      </c>
      <c r="D447" s="15" t="s">
        <v>102</v>
      </c>
      <c r="E447" s="15" t="s">
        <v>103</v>
      </c>
      <c r="F447" s="15">
        <v>4731</v>
      </c>
      <c r="G447" s="15">
        <v>173</v>
      </c>
      <c r="H447" s="15">
        <v>276</v>
      </c>
      <c r="I447" s="15">
        <v>28386</v>
      </c>
      <c r="J447" s="15">
        <v>28185</v>
      </c>
      <c r="K447" s="15">
        <v>89</v>
      </c>
      <c r="L447" s="15" t="s">
        <v>115</v>
      </c>
      <c r="M447" s="15">
        <v>5180</v>
      </c>
      <c r="N447" s="15" t="s">
        <v>87</v>
      </c>
    </row>
    <row r="448" spans="1:14" x14ac:dyDescent="0.3">
      <c r="A448" s="15" t="s">
        <v>608</v>
      </c>
      <c r="B448" s="15" t="s">
        <v>3</v>
      </c>
      <c r="C448" s="67">
        <v>45783</v>
      </c>
      <c r="D448" s="15" t="s">
        <v>109</v>
      </c>
      <c r="E448" s="15" t="s">
        <v>110</v>
      </c>
      <c r="F448" s="15">
        <v>1952</v>
      </c>
      <c r="G448" s="15">
        <v>344</v>
      </c>
      <c r="H448" s="15">
        <v>287</v>
      </c>
      <c r="I448" s="15">
        <v>15616</v>
      </c>
      <c r="J448" s="15">
        <v>15403</v>
      </c>
      <c r="K448" s="15">
        <v>235</v>
      </c>
      <c r="L448" s="15" t="s">
        <v>99</v>
      </c>
      <c r="M448" s="15">
        <v>2583</v>
      </c>
      <c r="N448" s="15" t="s">
        <v>81</v>
      </c>
    </row>
    <row r="449" spans="1:14" x14ac:dyDescent="0.3">
      <c r="A449" s="15" t="s">
        <v>608</v>
      </c>
      <c r="B449" s="15" t="s">
        <v>3</v>
      </c>
      <c r="C449" s="67">
        <v>45783</v>
      </c>
      <c r="D449" s="15" t="s">
        <v>109</v>
      </c>
      <c r="E449" s="15" t="s">
        <v>110</v>
      </c>
      <c r="F449" s="15">
        <v>1952</v>
      </c>
      <c r="G449" s="15">
        <v>344</v>
      </c>
      <c r="H449" s="15">
        <v>287</v>
      </c>
      <c r="I449" s="15">
        <v>15616</v>
      </c>
      <c r="J449" s="15">
        <v>15403</v>
      </c>
      <c r="K449" s="15">
        <v>235</v>
      </c>
      <c r="L449" s="15" t="s">
        <v>99</v>
      </c>
      <c r="M449" s="15">
        <v>2583</v>
      </c>
      <c r="N449" s="15" t="s">
        <v>87</v>
      </c>
    </row>
    <row r="450" spans="1:14" x14ac:dyDescent="0.3">
      <c r="A450" s="15" t="s">
        <v>609</v>
      </c>
      <c r="B450" s="15" t="s">
        <v>3</v>
      </c>
      <c r="C450" s="67">
        <v>45699</v>
      </c>
      <c r="D450" s="15" t="s">
        <v>129</v>
      </c>
      <c r="E450" s="15" t="s">
        <v>130</v>
      </c>
      <c r="F450" s="15">
        <v>3440</v>
      </c>
      <c r="G450" s="15">
        <v>13</v>
      </c>
      <c r="H450" s="15">
        <v>20</v>
      </c>
      <c r="I450" s="15">
        <v>58480</v>
      </c>
      <c r="J450" s="15">
        <v>58146</v>
      </c>
      <c r="K450" s="15">
        <v>210</v>
      </c>
      <c r="L450" s="15" t="s">
        <v>82</v>
      </c>
      <c r="M450" s="15">
        <v>3473</v>
      </c>
      <c r="N450" s="15" t="s">
        <v>87</v>
      </c>
    </row>
    <row r="451" spans="1:14" x14ac:dyDescent="0.3">
      <c r="A451" s="15" t="s">
        <v>609</v>
      </c>
      <c r="B451" s="15" t="s">
        <v>3</v>
      </c>
      <c r="C451" s="67">
        <v>45699</v>
      </c>
      <c r="D451" s="15" t="s">
        <v>129</v>
      </c>
      <c r="E451" s="15" t="s">
        <v>130</v>
      </c>
      <c r="F451" s="15">
        <v>3440</v>
      </c>
      <c r="G451" s="15">
        <v>13</v>
      </c>
      <c r="H451" s="15">
        <v>20</v>
      </c>
      <c r="I451" s="15">
        <v>58480</v>
      </c>
      <c r="J451" s="15">
        <v>58146</v>
      </c>
      <c r="K451" s="15">
        <v>210</v>
      </c>
      <c r="L451" s="15" t="s">
        <v>82</v>
      </c>
      <c r="M451" s="15">
        <v>3473</v>
      </c>
      <c r="N451" s="15" t="s">
        <v>137</v>
      </c>
    </row>
    <row r="452" spans="1:14" x14ac:dyDescent="0.3">
      <c r="A452" s="15" t="s">
        <v>611</v>
      </c>
      <c r="B452" s="15" t="s">
        <v>3</v>
      </c>
      <c r="C452" s="67">
        <v>45650</v>
      </c>
      <c r="D452" s="15" t="s">
        <v>85</v>
      </c>
      <c r="E452" s="15" t="s">
        <v>86</v>
      </c>
      <c r="F452" s="15">
        <v>2166</v>
      </c>
      <c r="G452" s="15">
        <v>354</v>
      </c>
      <c r="H452" s="15">
        <v>117</v>
      </c>
      <c r="I452" s="15">
        <v>10830</v>
      </c>
      <c r="J452" s="15">
        <v>10245</v>
      </c>
      <c r="K452" s="15">
        <v>24</v>
      </c>
      <c r="L452" s="15" t="s">
        <v>82</v>
      </c>
      <c r="M452" s="15">
        <v>2637</v>
      </c>
      <c r="N452" s="15" t="s">
        <v>118</v>
      </c>
    </row>
    <row r="453" spans="1:14" x14ac:dyDescent="0.3">
      <c r="A453" s="15" t="s">
        <v>611</v>
      </c>
      <c r="B453" s="15" t="s">
        <v>3</v>
      </c>
      <c r="C453" s="67">
        <v>45650</v>
      </c>
      <c r="D453" s="15" t="s">
        <v>85</v>
      </c>
      <c r="E453" s="15" t="s">
        <v>86</v>
      </c>
      <c r="F453" s="15">
        <v>2166</v>
      </c>
      <c r="G453" s="15">
        <v>354</v>
      </c>
      <c r="H453" s="15">
        <v>117</v>
      </c>
      <c r="I453" s="15">
        <v>10830</v>
      </c>
      <c r="J453" s="15">
        <v>10245</v>
      </c>
      <c r="K453" s="15">
        <v>24</v>
      </c>
      <c r="L453" s="15" t="s">
        <v>82</v>
      </c>
      <c r="M453" s="15">
        <v>2637</v>
      </c>
      <c r="N453" s="15" t="s">
        <v>104</v>
      </c>
    </row>
    <row r="454" spans="1:14" x14ac:dyDescent="0.3">
      <c r="A454" s="15" t="s">
        <v>613</v>
      </c>
      <c r="B454" s="15" t="s">
        <v>1</v>
      </c>
      <c r="C454" s="67">
        <v>45589</v>
      </c>
      <c r="D454" s="15" t="s">
        <v>109</v>
      </c>
      <c r="E454" s="15" t="s">
        <v>110</v>
      </c>
      <c r="F454" s="15">
        <v>4303</v>
      </c>
      <c r="G454" s="15">
        <v>451</v>
      </c>
      <c r="H454" s="15">
        <v>286</v>
      </c>
      <c r="I454" s="15">
        <v>86060</v>
      </c>
      <c r="J454" s="15">
        <v>85823</v>
      </c>
      <c r="K454" s="15">
        <v>14</v>
      </c>
      <c r="L454" s="15" t="s">
        <v>88</v>
      </c>
      <c r="M454" s="15">
        <v>5040</v>
      </c>
      <c r="N454" s="15" t="s">
        <v>81</v>
      </c>
    </row>
    <row r="455" spans="1:14" x14ac:dyDescent="0.3">
      <c r="A455" s="15" t="s">
        <v>614</v>
      </c>
      <c r="B455" s="15" t="s">
        <v>1</v>
      </c>
      <c r="C455" s="67">
        <v>45530</v>
      </c>
      <c r="D455" s="15" t="s">
        <v>109</v>
      </c>
      <c r="E455" s="15" t="s">
        <v>110</v>
      </c>
      <c r="F455" s="15">
        <v>2581</v>
      </c>
      <c r="G455" s="15">
        <v>517</v>
      </c>
      <c r="H455" s="15">
        <v>117</v>
      </c>
      <c r="I455" s="15">
        <v>23229</v>
      </c>
      <c r="J455" s="15">
        <v>22331</v>
      </c>
      <c r="K455" s="15">
        <v>70</v>
      </c>
      <c r="L455" s="15" t="s">
        <v>88</v>
      </c>
      <c r="M455" s="15">
        <v>3215</v>
      </c>
      <c r="N455" s="15" t="s">
        <v>81</v>
      </c>
    </row>
    <row r="456" spans="1:14" x14ac:dyDescent="0.3">
      <c r="A456" s="15" t="s">
        <v>614</v>
      </c>
      <c r="B456" s="15" t="s">
        <v>1</v>
      </c>
      <c r="C456" s="67">
        <v>45530</v>
      </c>
      <c r="D456" s="15" t="s">
        <v>109</v>
      </c>
      <c r="E456" s="15" t="s">
        <v>110</v>
      </c>
      <c r="F456" s="15">
        <v>2581</v>
      </c>
      <c r="G456" s="15">
        <v>517</v>
      </c>
      <c r="H456" s="15">
        <v>117</v>
      </c>
      <c r="I456" s="15">
        <v>23229</v>
      </c>
      <c r="J456" s="15">
        <v>22331</v>
      </c>
      <c r="K456" s="15">
        <v>70</v>
      </c>
      <c r="L456" s="15" t="s">
        <v>88</v>
      </c>
      <c r="M456" s="15">
        <v>3215</v>
      </c>
      <c r="N456" s="15" t="s">
        <v>118</v>
      </c>
    </row>
    <row r="457" spans="1:14" x14ac:dyDescent="0.3">
      <c r="A457" s="15" t="s">
        <v>615</v>
      </c>
      <c r="B457" s="15" t="s">
        <v>3</v>
      </c>
      <c r="C457" s="67">
        <v>45535</v>
      </c>
      <c r="D457" s="15" t="s">
        <v>102</v>
      </c>
      <c r="E457" s="15" t="s">
        <v>103</v>
      </c>
      <c r="F457" s="15">
        <v>4494</v>
      </c>
      <c r="G457" s="15">
        <v>717</v>
      </c>
      <c r="H457" s="15">
        <v>45</v>
      </c>
      <c r="I457" s="15">
        <v>62916</v>
      </c>
      <c r="J457" s="15">
        <v>62688</v>
      </c>
      <c r="K457" s="15">
        <v>191</v>
      </c>
      <c r="L457" s="15" t="s">
        <v>82</v>
      </c>
      <c r="M457" s="15">
        <v>5256</v>
      </c>
      <c r="N457" s="15" t="s">
        <v>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90F6-07B9-4E62-8BA8-2E00B56800CF}">
  <dimension ref="A1:J1000"/>
  <sheetViews>
    <sheetView topLeftCell="A175" workbookViewId="0">
      <selection activeCell="L22" sqref="L22"/>
    </sheetView>
  </sheetViews>
  <sheetFormatPr defaultColWidth="14.44140625" defaultRowHeight="15" customHeight="1" x14ac:dyDescent="0.3"/>
  <cols>
    <col min="1" max="1" width="19.88671875" style="15" customWidth="1"/>
    <col min="2" max="2" width="13.44140625" style="15" customWidth="1"/>
    <col min="3" max="3" width="15.5546875" style="15" customWidth="1"/>
    <col min="4" max="4" width="15.21875" style="15" customWidth="1"/>
    <col min="5" max="5" width="16.77734375" style="15" customWidth="1"/>
    <col min="6" max="6" width="17.6640625" style="15" customWidth="1"/>
    <col min="7" max="7" width="15.6640625" style="15" customWidth="1"/>
    <col min="8" max="8" width="18" style="15" customWidth="1"/>
    <col min="9" max="9" width="13" style="15" customWidth="1"/>
    <col min="10" max="26" width="8.6640625" style="15" customWidth="1"/>
    <col min="27" max="16384" width="14.44140625" style="15"/>
  </cols>
  <sheetData>
    <row r="1" spans="1:10" ht="14.25" customHeight="1" x14ac:dyDescent="0.3">
      <c r="A1" s="15" t="s">
        <v>57</v>
      </c>
      <c r="B1" s="15" t="s">
        <v>63</v>
      </c>
      <c r="C1" s="15" t="s">
        <v>668</v>
      </c>
      <c r="D1" s="15" t="s">
        <v>669</v>
      </c>
      <c r="E1" s="15" t="s">
        <v>670</v>
      </c>
      <c r="F1" s="15" t="s">
        <v>671</v>
      </c>
      <c r="G1" s="15" t="s">
        <v>62</v>
      </c>
      <c r="H1" s="15" t="s">
        <v>672</v>
      </c>
      <c r="I1" s="15" t="s">
        <v>58</v>
      </c>
      <c r="J1" s="44" t="s">
        <v>673</v>
      </c>
    </row>
    <row r="2" spans="1:10" ht="14.25" customHeight="1" x14ac:dyDescent="0.3">
      <c r="A2" s="51">
        <v>45446</v>
      </c>
      <c r="B2" s="15" t="s">
        <v>2</v>
      </c>
      <c r="C2" s="15">
        <v>1135</v>
      </c>
      <c r="D2" s="15">
        <v>88</v>
      </c>
      <c r="E2" s="15">
        <v>344084</v>
      </c>
      <c r="F2" s="15">
        <v>8.06</v>
      </c>
      <c r="G2" s="15">
        <v>5904</v>
      </c>
      <c r="H2" s="52">
        <f>(((Table5[[#This Row],[New_Followers]]-Table5[[#This Row],[Unfollows]])+Table5[[#This Row],[Total_Followers]])/Table5[[#This Row],[Total_Followers]])</f>
        <v>1.0030428616268121</v>
      </c>
      <c r="I2" s="15">
        <f>Table5[[#This Row],[New_Followers]]-Table5[[#This Row],[Unfollows]]</f>
        <v>1047</v>
      </c>
      <c r="J2" s="44" t="s">
        <v>667</v>
      </c>
    </row>
    <row r="3" spans="1:10" ht="14.25" customHeight="1" x14ac:dyDescent="0.3">
      <c r="A3" s="51">
        <v>45446</v>
      </c>
      <c r="B3" s="15" t="s">
        <v>1</v>
      </c>
      <c r="C3" s="15">
        <v>1312</v>
      </c>
      <c r="D3" s="15">
        <v>310</v>
      </c>
      <c r="E3" s="15">
        <v>42654</v>
      </c>
      <c r="F3" s="15">
        <v>4.9800000000000004</v>
      </c>
      <c r="G3" s="15">
        <v>9566</v>
      </c>
      <c r="H3" s="52">
        <f>(((Table5[[#This Row],[New_Followers]]-Table5[[#This Row],[Unfollows]])+Table5[[#This Row],[Total_Followers]])/Table5[[#This Row],[Total_Followers]])</f>
        <v>1.0234913489942326</v>
      </c>
      <c r="I3" s="15">
        <f>Table5[[#This Row],[New_Followers]]-Table5[[#This Row],[Unfollows]]</f>
        <v>1002</v>
      </c>
      <c r="J3" s="44"/>
    </row>
    <row r="4" spans="1:10" ht="14.25" customHeight="1" x14ac:dyDescent="0.3">
      <c r="A4" s="51">
        <v>45446</v>
      </c>
      <c r="B4" s="15" t="s">
        <v>3</v>
      </c>
      <c r="C4" s="15">
        <v>584</v>
      </c>
      <c r="D4" s="15">
        <v>169</v>
      </c>
      <c r="E4" s="15">
        <v>146834</v>
      </c>
      <c r="F4" s="15">
        <v>8.31</v>
      </c>
      <c r="G4" s="15">
        <v>26752</v>
      </c>
      <c r="H4" s="52">
        <f>(((Table5[[#This Row],[New_Followers]]-Table5[[#This Row],[Unfollows]])+Table5[[#This Row],[Total_Followers]])/Table5[[#This Row],[Total_Followers]])</f>
        <v>1.0028263208793604</v>
      </c>
      <c r="I4" s="15">
        <f>Table5[[#This Row],[New_Followers]]-Table5[[#This Row],[Unfollows]]</f>
        <v>415</v>
      </c>
      <c r="J4" s="44"/>
    </row>
    <row r="5" spans="1:10" ht="14.25" customHeight="1" x14ac:dyDescent="0.3">
      <c r="A5" s="51">
        <v>45446</v>
      </c>
      <c r="B5" s="15" t="s">
        <v>4</v>
      </c>
      <c r="C5" s="15">
        <v>1535</v>
      </c>
      <c r="D5" s="15">
        <v>445</v>
      </c>
      <c r="E5" s="15">
        <v>395536</v>
      </c>
      <c r="F5" s="15">
        <v>4.1100000000000003</v>
      </c>
      <c r="G5" s="15">
        <v>30671</v>
      </c>
      <c r="H5" s="52">
        <f>(((Table5[[#This Row],[New_Followers]]-Table5[[#This Row],[Unfollows]])+Table5[[#This Row],[Total_Followers]])/Table5[[#This Row],[Total_Followers]])</f>
        <v>1.0027557542170624</v>
      </c>
      <c r="I5" s="15">
        <f>Table5[[#This Row],[New_Followers]]-Table5[[#This Row],[Unfollows]]</f>
        <v>1090</v>
      </c>
      <c r="J5" s="44"/>
    </row>
    <row r="6" spans="1:10" ht="14.25" customHeight="1" x14ac:dyDescent="0.3">
      <c r="A6" s="51">
        <v>45453</v>
      </c>
      <c r="B6" s="15" t="s">
        <v>2</v>
      </c>
      <c r="C6" s="15">
        <v>656</v>
      </c>
      <c r="D6" s="15">
        <v>139</v>
      </c>
      <c r="E6" s="15">
        <v>49157</v>
      </c>
      <c r="F6" s="15">
        <v>9.0500000000000007</v>
      </c>
      <c r="G6" s="15">
        <v>9920</v>
      </c>
      <c r="H6" s="52">
        <f>(((Table5[[#This Row],[New_Followers]]-Table5[[#This Row],[Unfollows]])+Table5[[#This Row],[Total_Followers]])/Table5[[#This Row],[Total_Followers]])</f>
        <v>1.010517322049759</v>
      </c>
      <c r="I6" s="15">
        <f>Table5[[#This Row],[New_Followers]]-Table5[[#This Row],[Unfollows]]</f>
        <v>517</v>
      </c>
      <c r="J6" s="44"/>
    </row>
    <row r="7" spans="1:10" ht="14.25" customHeight="1" x14ac:dyDescent="0.3">
      <c r="A7" s="51">
        <v>45453</v>
      </c>
      <c r="B7" s="15" t="s">
        <v>1</v>
      </c>
      <c r="C7" s="15">
        <v>1697</v>
      </c>
      <c r="D7" s="15">
        <v>414</v>
      </c>
      <c r="E7" s="15">
        <v>316555</v>
      </c>
      <c r="F7" s="15">
        <v>2.37</v>
      </c>
      <c r="G7" s="15">
        <v>7924</v>
      </c>
      <c r="H7" s="52">
        <f>(((Table5[[#This Row],[New_Followers]]-Table5[[#This Row],[Unfollows]])+Table5[[#This Row],[Total_Followers]])/Table5[[#This Row],[Total_Followers]])</f>
        <v>1.0040530081660375</v>
      </c>
      <c r="I7" s="15">
        <f>Table5[[#This Row],[New_Followers]]-Table5[[#This Row],[Unfollows]]</f>
        <v>1283</v>
      </c>
      <c r="J7" s="44"/>
    </row>
    <row r="8" spans="1:10" ht="14.25" customHeight="1" x14ac:dyDescent="0.3">
      <c r="A8" s="51">
        <v>45453</v>
      </c>
      <c r="B8" s="15" t="s">
        <v>3</v>
      </c>
      <c r="C8" s="15">
        <v>436</v>
      </c>
      <c r="D8" s="15">
        <v>250</v>
      </c>
      <c r="E8" s="15">
        <v>254347</v>
      </c>
      <c r="F8" s="15">
        <v>4.01</v>
      </c>
      <c r="G8" s="15">
        <v>8912</v>
      </c>
      <c r="H8" s="52">
        <f>(((Table5[[#This Row],[New_Followers]]-Table5[[#This Row],[Unfollows]])+Table5[[#This Row],[Total_Followers]])/Table5[[#This Row],[Total_Followers]])</f>
        <v>1.0007312844263938</v>
      </c>
      <c r="I8" s="15">
        <f>Table5[[#This Row],[New_Followers]]-Table5[[#This Row],[Unfollows]]</f>
        <v>186</v>
      </c>
      <c r="J8" s="44"/>
    </row>
    <row r="9" spans="1:10" ht="14.25" customHeight="1" x14ac:dyDescent="0.3">
      <c r="A9" s="51">
        <v>45453</v>
      </c>
      <c r="B9" s="15" t="s">
        <v>4</v>
      </c>
      <c r="C9" s="15">
        <v>1197</v>
      </c>
      <c r="D9" s="15">
        <v>203</v>
      </c>
      <c r="E9" s="15">
        <v>413878</v>
      </c>
      <c r="F9" s="15">
        <v>3.16</v>
      </c>
      <c r="G9" s="15">
        <v>21205</v>
      </c>
      <c r="H9" s="52">
        <f>(((Table5[[#This Row],[New_Followers]]-Table5[[#This Row],[Unfollows]])+Table5[[#This Row],[Total_Followers]])/Table5[[#This Row],[Total_Followers]])</f>
        <v>1.0024016739232333</v>
      </c>
      <c r="I9" s="15">
        <f>Table5[[#This Row],[New_Followers]]-Table5[[#This Row],[Unfollows]]</f>
        <v>994</v>
      </c>
      <c r="J9" s="44"/>
    </row>
    <row r="10" spans="1:10" ht="14.25" customHeight="1" x14ac:dyDescent="0.3">
      <c r="A10" s="51">
        <v>45460</v>
      </c>
      <c r="B10" s="15" t="s">
        <v>2</v>
      </c>
      <c r="C10" s="15">
        <v>1048</v>
      </c>
      <c r="D10" s="15">
        <v>155</v>
      </c>
      <c r="E10" s="15">
        <v>456946</v>
      </c>
      <c r="F10" s="15">
        <v>2.46</v>
      </c>
      <c r="G10" s="15">
        <v>11329</v>
      </c>
      <c r="H10" s="52">
        <f>(((Table5[[#This Row],[New_Followers]]-Table5[[#This Row],[Unfollows]])+Table5[[#This Row],[Total_Followers]])/Table5[[#This Row],[Total_Followers]])</f>
        <v>1.0019542790614209</v>
      </c>
      <c r="I10" s="15">
        <f>Table5[[#This Row],[New_Followers]]-Table5[[#This Row],[Unfollows]]</f>
        <v>893</v>
      </c>
      <c r="J10" s="44"/>
    </row>
    <row r="11" spans="1:10" ht="14.25" customHeight="1" x14ac:dyDescent="0.3">
      <c r="A11" s="51">
        <v>45460</v>
      </c>
      <c r="B11" s="15" t="s">
        <v>1</v>
      </c>
      <c r="C11" s="15">
        <v>1753</v>
      </c>
      <c r="D11" s="15">
        <v>371</v>
      </c>
      <c r="E11" s="15">
        <v>169496</v>
      </c>
      <c r="F11" s="15">
        <v>8.11</v>
      </c>
      <c r="G11" s="15">
        <v>46670</v>
      </c>
      <c r="H11" s="52">
        <f>(((Table5[[#This Row],[New_Followers]]-Table5[[#This Row],[Unfollows]])+Table5[[#This Row],[Total_Followers]])/Table5[[#This Row],[Total_Followers]])</f>
        <v>1.0081535847453627</v>
      </c>
      <c r="I11" s="15">
        <f>Table5[[#This Row],[New_Followers]]-Table5[[#This Row],[Unfollows]]</f>
        <v>1382</v>
      </c>
      <c r="J11" s="44"/>
    </row>
    <row r="12" spans="1:10" ht="14.25" customHeight="1" x14ac:dyDescent="0.3">
      <c r="A12" s="51">
        <v>45460</v>
      </c>
      <c r="B12" s="15" t="s">
        <v>3</v>
      </c>
      <c r="C12" s="15">
        <v>1335</v>
      </c>
      <c r="D12" s="15">
        <v>40</v>
      </c>
      <c r="E12" s="15">
        <v>122732</v>
      </c>
      <c r="F12" s="15">
        <v>8.19</v>
      </c>
      <c r="G12" s="15">
        <v>22482</v>
      </c>
      <c r="H12" s="52">
        <f>(((Table5[[#This Row],[New_Followers]]-Table5[[#This Row],[Unfollows]])+Table5[[#This Row],[Total_Followers]])/Table5[[#This Row],[Total_Followers]])</f>
        <v>1.0105514454258058</v>
      </c>
      <c r="I12" s="15">
        <f>Table5[[#This Row],[New_Followers]]-Table5[[#This Row],[Unfollows]]</f>
        <v>1295</v>
      </c>
      <c r="J12" s="44"/>
    </row>
    <row r="13" spans="1:10" ht="14.25" customHeight="1" x14ac:dyDescent="0.3">
      <c r="A13" s="51">
        <v>45460</v>
      </c>
      <c r="B13" s="15" t="s">
        <v>4</v>
      </c>
      <c r="C13" s="15">
        <v>403</v>
      </c>
      <c r="D13" s="15">
        <v>66</v>
      </c>
      <c r="E13" s="15">
        <v>382851</v>
      </c>
      <c r="F13" s="15">
        <v>3.49</v>
      </c>
      <c r="G13" s="15">
        <v>24313</v>
      </c>
      <c r="H13" s="52">
        <f>(((Table5[[#This Row],[New_Followers]]-Table5[[#This Row],[Unfollows]])+Table5[[#This Row],[Total_Followers]])/Table5[[#This Row],[Total_Followers]])</f>
        <v>1.0008802380038186</v>
      </c>
      <c r="I13" s="15">
        <f>Table5[[#This Row],[New_Followers]]-Table5[[#This Row],[Unfollows]]</f>
        <v>337</v>
      </c>
      <c r="J13" s="44"/>
    </row>
    <row r="14" spans="1:10" ht="14.25" customHeight="1" x14ac:dyDescent="0.3">
      <c r="A14" s="51">
        <v>45467</v>
      </c>
      <c r="B14" s="15" t="s">
        <v>2</v>
      </c>
      <c r="C14" s="15">
        <v>911</v>
      </c>
      <c r="D14" s="15">
        <v>282</v>
      </c>
      <c r="E14" s="15">
        <v>35664</v>
      </c>
      <c r="F14" s="15">
        <v>6.92</v>
      </c>
      <c r="G14" s="15">
        <v>18050</v>
      </c>
      <c r="H14" s="52">
        <f>(((Table5[[#This Row],[New_Followers]]-Table5[[#This Row],[Unfollows]])+Table5[[#This Row],[Total_Followers]])/Table5[[#This Row],[Total_Followers]])</f>
        <v>1.0176368326603857</v>
      </c>
      <c r="I14" s="15">
        <f>Table5[[#This Row],[New_Followers]]-Table5[[#This Row],[Unfollows]]</f>
        <v>629</v>
      </c>
      <c r="J14" s="44"/>
    </row>
    <row r="15" spans="1:10" ht="14.25" customHeight="1" x14ac:dyDescent="0.3">
      <c r="A15" s="51">
        <v>45467</v>
      </c>
      <c r="B15" s="15" t="s">
        <v>1</v>
      </c>
      <c r="C15" s="15">
        <v>1779</v>
      </c>
      <c r="D15" s="15">
        <v>109</v>
      </c>
      <c r="E15" s="15">
        <v>26295</v>
      </c>
      <c r="F15" s="15">
        <v>9.1199999999999992</v>
      </c>
      <c r="G15" s="15">
        <v>30635</v>
      </c>
      <c r="H15" s="52">
        <f>(((Table5[[#This Row],[New_Followers]]-Table5[[#This Row],[Unfollows]])+Table5[[#This Row],[Total_Followers]])/Table5[[#This Row],[Total_Followers]])</f>
        <v>1.0635101730366989</v>
      </c>
      <c r="I15" s="15">
        <f>Table5[[#This Row],[New_Followers]]-Table5[[#This Row],[Unfollows]]</f>
        <v>1670</v>
      </c>
      <c r="J15" s="44"/>
    </row>
    <row r="16" spans="1:10" ht="14.25" customHeight="1" x14ac:dyDescent="0.3">
      <c r="A16" s="51">
        <v>45467</v>
      </c>
      <c r="B16" s="15" t="s">
        <v>3</v>
      </c>
      <c r="C16" s="15">
        <v>1238</v>
      </c>
      <c r="D16" s="15">
        <v>403</v>
      </c>
      <c r="E16" s="15">
        <v>298421</v>
      </c>
      <c r="F16" s="15">
        <v>3.5</v>
      </c>
      <c r="G16" s="15">
        <v>31280</v>
      </c>
      <c r="H16" s="52">
        <f>(((Table5[[#This Row],[New_Followers]]-Table5[[#This Row],[Unfollows]])+Table5[[#This Row],[Total_Followers]])/Table5[[#This Row],[Total_Followers]])</f>
        <v>1.0027980604582116</v>
      </c>
      <c r="I16" s="15">
        <f>Table5[[#This Row],[New_Followers]]-Table5[[#This Row],[Unfollows]]</f>
        <v>835</v>
      </c>
      <c r="J16" s="44"/>
    </row>
    <row r="17" spans="1:10" ht="14.25" customHeight="1" x14ac:dyDescent="0.3">
      <c r="A17" s="51">
        <v>45467</v>
      </c>
      <c r="B17" s="15" t="s">
        <v>4</v>
      </c>
      <c r="C17" s="15">
        <v>308</v>
      </c>
      <c r="D17" s="15">
        <v>431</v>
      </c>
      <c r="E17" s="15">
        <v>426184</v>
      </c>
      <c r="F17" s="15">
        <v>2.62</v>
      </c>
      <c r="G17" s="15">
        <v>1783</v>
      </c>
      <c r="H17" s="52">
        <f>(((Table5[[#This Row],[New_Followers]]-Table5[[#This Row],[Unfollows]])+Table5[[#This Row],[Total_Followers]])/Table5[[#This Row],[Total_Followers]])</f>
        <v>0.99971139226249695</v>
      </c>
      <c r="I17" s="15">
        <f>Table5[[#This Row],[New_Followers]]-Table5[[#This Row],[Unfollows]]</f>
        <v>-123</v>
      </c>
      <c r="J17" s="44"/>
    </row>
    <row r="18" spans="1:10" ht="14.25" customHeight="1" x14ac:dyDescent="0.3">
      <c r="A18" s="51">
        <v>45474</v>
      </c>
      <c r="B18" s="15" t="s">
        <v>2</v>
      </c>
      <c r="C18" s="15">
        <v>226</v>
      </c>
      <c r="D18" s="15">
        <v>445</v>
      </c>
      <c r="E18" s="15">
        <v>419447</v>
      </c>
      <c r="F18" s="15">
        <v>9.36</v>
      </c>
      <c r="G18" s="15">
        <v>9566</v>
      </c>
      <c r="H18" s="52">
        <f>(((Table5[[#This Row],[New_Followers]]-Table5[[#This Row],[Unfollows]])+Table5[[#This Row],[Total_Followers]])/Table5[[#This Row],[Total_Followers]])</f>
        <v>0.99947788397580628</v>
      </c>
      <c r="I18" s="15">
        <f>Table5[[#This Row],[New_Followers]]-Table5[[#This Row],[Unfollows]]</f>
        <v>-219</v>
      </c>
      <c r="J18" s="44"/>
    </row>
    <row r="19" spans="1:10" ht="14.25" customHeight="1" x14ac:dyDescent="0.3">
      <c r="A19" s="51">
        <v>45474</v>
      </c>
      <c r="B19" s="15" t="s">
        <v>1</v>
      </c>
      <c r="C19" s="15">
        <v>505</v>
      </c>
      <c r="D19" s="15">
        <v>441</v>
      </c>
      <c r="E19" s="15">
        <v>220020</v>
      </c>
      <c r="F19" s="15">
        <v>4.4800000000000004</v>
      </c>
      <c r="G19" s="15">
        <v>42307</v>
      </c>
      <c r="H19" s="52">
        <f>(((Table5[[#This Row],[New_Followers]]-Table5[[#This Row],[Unfollows]])+Table5[[#This Row],[Total_Followers]])/Table5[[#This Row],[Total_Followers]])</f>
        <v>1.000290882647032</v>
      </c>
      <c r="I19" s="15">
        <f>Table5[[#This Row],[New_Followers]]-Table5[[#This Row],[Unfollows]]</f>
        <v>64</v>
      </c>
      <c r="J19" s="44"/>
    </row>
    <row r="20" spans="1:10" ht="14.25" customHeight="1" x14ac:dyDescent="0.3">
      <c r="A20" s="51">
        <v>45474</v>
      </c>
      <c r="B20" s="15" t="s">
        <v>3</v>
      </c>
      <c r="C20" s="15">
        <v>1420</v>
      </c>
      <c r="D20" s="15">
        <v>63</v>
      </c>
      <c r="E20" s="15">
        <v>315305</v>
      </c>
      <c r="F20" s="15">
        <v>6.19</v>
      </c>
      <c r="G20" s="15">
        <v>5914</v>
      </c>
      <c r="H20" s="52">
        <f>(((Table5[[#This Row],[New_Followers]]-Table5[[#This Row],[Unfollows]])+Table5[[#This Row],[Total_Followers]])/Table5[[#This Row],[Total_Followers]])</f>
        <v>1.0043037693661692</v>
      </c>
      <c r="I20" s="15">
        <f>Table5[[#This Row],[New_Followers]]-Table5[[#This Row],[Unfollows]]</f>
        <v>1357</v>
      </c>
      <c r="J20" s="44"/>
    </row>
    <row r="21" spans="1:10" ht="14.25" customHeight="1" x14ac:dyDescent="0.3">
      <c r="A21" s="51">
        <v>45474</v>
      </c>
      <c r="B21" s="15" t="s">
        <v>4</v>
      </c>
      <c r="C21" s="15">
        <v>144</v>
      </c>
      <c r="D21" s="15">
        <v>53</v>
      </c>
      <c r="E21" s="15">
        <v>113678</v>
      </c>
      <c r="F21" s="15">
        <v>8.7200000000000006</v>
      </c>
      <c r="G21" s="15">
        <v>30060</v>
      </c>
      <c r="H21" s="52">
        <f>(((Table5[[#This Row],[New_Followers]]-Table5[[#This Row],[Unfollows]])+Table5[[#This Row],[Total_Followers]])/Table5[[#This Row],[Total_Followers]])</f>
        <v>1.0008005066943473</v>
      </c>
      <c r="I21" s="15">
        <f>Table5[[#This Row],[New_Followers]]-Table5[[#This Row],[Unfollows]]</f>
        <v>91</v>
      </c>
      <c r="J21" s="44"/>
    </row>
    <row r="22" spans="1:10" ht="14.25" customHeight="1" x14ac:dyDescent="0.3">
      <c r="A22" s="51">
        <v>45481</v>
      </c>
      <c r="B22" s="15" t="s">
        <v>2</v>
      </c>
      <c r="C22" s="15">
        <v>1757</v>
      </c>
      <c r="D22" s="15">
        <v>85</v>
      </c>
      <c r="E22" s="15">
        <v>58223</v>
      </c>
      <c r="F22" s="15">
        <v>8.74</v>
      </c>
      <c r="G22" s="15">
        <v>22728</v>
      </c>
      <c r="H22" s="52">
        <f>(((Table5[[#This Row],[New_Followers]]-Table5[[#This Row],[Unfollows]])+Table5[[#This Row],[Total_Followers]])/Table5[[#This Row],[Total_Followers]])</f>
        <v>1.0287171736255432</v>
      </c>
      <c r="I22" s="15">
        <f>Table5[[#This Row],[New_Followers]]-Table5[[#This Row],[Unfollows]]</f>
        <v>1672</v>
      </c>
      <c r="J22" s="44"/>
    </row>
    <row r="23" spans="1:10" ht="14.25" customHeight="1" x14ac:dyDescent="0.3">
      <c r="A23" s="51">
        <v>45481</v>
      </c>
      <c r="B23" s="15" t="s">
        <v>1</v>
      </c>
      <c r="C23" s="15">
        <v>350</v>
      </c>
      <c r="D23" s="15">
        <v>41</v>
      </c>
      <c r="E23" s="15">
        <v>251694</v>
      </c>
      <c r="F23" s="15">
        <v>1.91</v>
      </c>
      <c r="G23" s="15">
        <v>38610</v>
      </c>
      <c r="H23" s="52">
        <f>(((Table5[[#This Row],[New_Followers]]-Table5[[#This Row],[Unfollows]])+Table5[[#This Row],[Total_Followers]])/Table5[[#This Row],[Total_Followers]])</f>
        <v>1.0012276812319723</v>
      </c>
      <c r="I23" s="15">
        <f>Table5[[#This Row],[New_Followers]]-Table5[[#This Row],[Unfollows]]</f>
        <v>309</v>
      </c>
      <c r="J23" s="44"/>
    </row>
    <row r="24" spans="1:10" ht="14.25" customHeight="1" x14ac:dyDescent="0.3">
      <c r="A24" s="51">
        <v>45481</v>
      </c>
      <c r="B24" s="15" t="s">
        <v>3</v>
      </c>
      <c r="C24" s="15">
        <v>987</v>
      </c>
      <c r="D24" s="15">
        <v>440</v>
      </c>
      <c r="E24" s="15">
        <v>389810</v>
      </c>
      <c r="F24" s="15">
        <v>4.66</v>
      </c>
      <c r="G24" s="15">
        <v>2932</v>
      </c>
      <c r="H24" s="52">
        <f>(((Table5[[#This Row],[New_Followers]]-Table5[[#This Row],[Unfollows]])+Table5[[#This Row],[Total_Followers]])/Table5[[#This Row],[Total_Followers]])</f>
        <v>1.0014032477360766</v>
      </c>
      <c r="I24" s="15">
        <f>Table5[[#This Row],[New_Followers]]-Table5[[#This Row],[Unfollows]]</f>
        <v>547</v>
      </c>
      <c r="J24" s="44"/>
    </row>
    <row r="25" spans="1:10" ht="14.25" customHeight="1" x14ac:dyDescent="0.3">
      <c r="A25" s="51">
        <v>45481</v>
      </c>
      <c r="B25" s="15" t="s">
        <v>4</v>
      </c>
      <c r="C25" s="15">
        <v>883</v>
      </c>
      <c r="D25" s="15">
        <v>369</v>
      </c>
      <c r="E25" s="15">
        <v>233694</v>
      </c>
      <c r="F25" s="15">
        <v>2.88</v>
      </c>
      <c r="G25" s="15">
        <v>15071</v>
      </c>
      <c r="H25" s="52">
        <f>(((Table5[[#This Row],[New_Followers]]-Table5[[#This Row],[Unfollows]])+Table5[[#This Row],[Total_Followers]])/Table5[[#This Row],[Total_Followers]])</f>
        <v>1.0021994574101174</v>
      </c>
      <c r="I25" s="15">
        <f>Table5[[#This Row],[New_Followers]]-Table5[[#This Row],[Unfollows]]</f>
        <v>514</v>
      </c>
      <c r="J25" s="44"/>
    </row>
    <row r="26" spans="1:10" ht="14.25" customHeight="1" x14ac:dyDescent="0.3">
      <c r="A26" s="51">
        <v>45488</v>
      </c>
      <c r="B26" s="15" t="s">
        <v>2</v>
      </c>
      <c r="C26" s="15">
        <v>1960</v>
      </c>
      <c r="D26" s="15">
        <v>115</v>
      </c>
      <c r="E26" s="15">
        <v>154169</v>
      </c>
      <c r="F26" s="15">
        <v>3.74</v>
      </c>
      <c r="G26" s="15">
        <v>10740</v>
      </c>
      <c r="H26" s="52">
        <f>(((Table5[[#This Row],[New_Followers]]-Table5[[#This Row],[Unfollows]])+Table5[[#This Row],[Total_Followers]])/Table5[[#This Row],[Total_Followers]])</f>
        <v>1.0119673864395566</v>
      </c>
      <c r="I26" s="15">
        <f>Table5[[#This Row],[New_Followers]]-Table5[[#This Row],[Unfollows]]</f>
        <v>1845</v>
      </c>
      <c r="J26" s="44"/>
    </row>
    <row r="27" spans="1:10" ht="14.25" customHeight="1" x14ac:dyDescent="0.3">
      <c r="A27" s="51">
        <v>45488</v>
      </c>
      <c r="B27" s="15" t="s">
        <v>1</v>
      </c>
      <c r="C27" s="15">
        <v>170</v>
      </c>
      <c r="D27" s="15">
        <v>334</v>
      </c>
      <c r="E27" s="15">
        <v>334626</v>
      </c>
      <c r="F27" s="15">
        <v>6.44</v>
      </c>
      <c r="G27" s="15">
        <v>43420</v>
      </c>
      <c r="H27" s="52">
        <f>(((Table5[[#This Row],[New_Followers]]-Table5[[#This Row],[Unfollows]])+Table5[[#This Row],[Total_Followers]])/Table5[[#This Row],[Total_Followers]])</f>
        <v>0.99950990060545208</v>
      </c>
      <c r="I27" s="15">
        <f>Table5[[#This Row],[New_Followers]]-Table5[[#This Row],[Unfollows]]</f>
        <v>-164</v>
      </c>
      <c r="J27" s="44"/>
    </row>
    <row r="28" spans="1:10" ht="14.25" customHeight="1" x14ac:dyDescent="0.3">
      <c r="A28" s="51">
        <v>45488</v>
      </c>
      <c r="B28" s="15" t="s">
        <v>3</v>
      </c>
      <c r="C28" s="15">
        <v>704</v>
      </c>
      <c r="D28" s="15">
        <v>275</v>
      </c>
      <c r="E28" s="15">
        <v>226002</v>
      </c>
      <c r="F28" s="15">
        <v>8.56</v>
      </c>
      <c r="G28" s="15">
        <v>32393</v>
      </c>
      <c r="H28" s="52">
        <f>(((Table5[[#This Row],[New_Followers]]-Table5[[#This Row],[Unfollows]])+Table5[[#This Row],[Total_Followers]])/Table5[[#This Row],[Total_Followers]])</f>
        <v>1.0018982132901479</v>
      </c>
      <c r="I28" s="15">
        <f>Table5[[#This Row],[New_Followers]]-Table5[[#This Row],[Unfollows]]</f>
        <v>429</v>
      </c>
      <c r="J28" s="44"/>
    </row>
    <row r="29" spans="1:10" ht="14.25" customHeight="1" x14ac:dyDescent="0.3">
      <c r="A29" s="51">
        <v>45488</v>
      </c>
      <c r="B29" s="15" t="s">
        <v>4</v>
      </c>
      <c r="C29" s="15">
        <v>224</v>
      </c>
      <c r="D29" s="15">
        <v>64</v>
      </c>
      <c r="E29" s="15">
        <v>156683</v>
      </c>
      <c r="F29" s="15">
        <v>4.5599999999999996</v>
      </c>
      <c r="G29" s="15">
        <v>28474</v>
      </c>
      <c r="H29" s="52">
        <f>(((Table5[[#This Row],[New_Followers]]-Table5[[#This Row],[Unfollows]])+Table5[[#This Row],[Total_Followers]])/Table5[[#This Row],[Total_Followers]])</f>
        <v>1.0010211701333265</v>
      </c>
      <c r="I29" s="15">
        <f>Table5[[#This Row],[New_Followers]]-Table5[[#This Row],[Unfollows]]</f>
        <v>160</v>
      </c>
      <c r="J29" s="44"/>
    </row>
    <row r="30" spans="1:10" ht="14.25" customHeight="1" x14ac:dyDescent="0.3">
      <c r="A30" s="51">
        <v>45495</v>
      </c>
      <c r="B30" s="15" t="s">
        <v>2</v>
      </c>
      <c r="C30" s="15">
        <v>508</v>
      </c>
      <c r="D30" s="15">
        <v>349</v>
      </c>
      <c r="E30" s="15">
        <v>473812</v>
      </c>
      <c r="F30" s="15">
        <v>7.88</v>
      </c>
      <c r="G30" s="15">
        <v>17328</v>
      </c>
      <c r="H30" s="52">
        <f>(((Table5[[#This Row],[New_Followers]]-Table5[[#This Row],[Unfollows]])+Table5[[#This Row],[Total_Followers]])/Table5[[#This Row],[Total_Followers]])</f>
        <v>1.0003355761356825</v>
      </c>
      <c r="I30" s="15">
        <f>Table5[[#This Row],[New_Followers]]-Table5[[#This Row],[Unfollows]]</f>
        <v>159</v>
      </c>
      <c r="J30" s="44"/>
    </row>
    <row r="31" spans="1:10" ht="14.25" customHeight="1" x14ac:dyDescent="0.3">
      <c r="A31" s="51">
        <v>45495</v>
      </c>
      <c r="B31" s="15" t="s">
        <v>1</v>
      </c>
      <c r="C31" s="15">
        <v>1391</v>
      </c>
      <c r="D31" s="15">
        <v>430</v>
      </c>
      <c r="E31" s="15">
        <v>295032</v>
      </c>
      <c r="F31" s="15">
        <v>7.86</v>
      </c>
      <c r="G31" s="15">
        <v>26067</v>
      </c>
      <c r="H31" s="52">
        <f>(((Table5[[#This Row],[New_Followers]]-Table5[[#This Row],[Unfollows]])+Table5[[#This Row],[Total_Followers]])/Table5[[#This Row],[Total_Followers]])</f>
        <v>1.0032572737872503</v>
      </c>
      <c r="I31" s="15">
        <f>Table5[[#This Row],[New_Followers]]-Table5[[#This Row],[Unfollows]]</f>
        <v>961</v>
      </c>
      <c r="J31" s="44"/>
    </row>
    <row r="32" spans="1:10" ht="14.25" customHeight="1" x14ac:dyDescent="0.3">
      <c r="A32" s="51">
        <v>45495</v>
      </c>
      <c r="B32" s="15" t="s">
        <v>3</v>
      </c>
      <c r="C32" s="15">
        <v>1701</v>
      </c>
      <c r="D32" s="15">
        <v>385</v>
      </c>
      <c r="E32" s="15">
        <v>198278</v>
      </c>
      <c r="F32" s="15">
        <v>5.34</v>
      </c>
      <c r="G32" s="15">
        <v>32763</v>
      </c>
      <c r="H32" s="52">
        <f>(((Table5[[#This Row],[New_Followers]]-Table5[[#This Row],[Unfollows]])+Table5[[#This Row],[Total_Followers]])/Table5[[#This Row],[Total_Followers]])</f>
        <v>1.0066371458255581</v>
      </c>
      <c r="I32" s="15">
        <f>Table5[[#This Row],[New_Followers]]-Table5[[#This Row],[Unfollows]]</f>
        <v>1316</v>
      </c>
      <c r="J32" s="44"/>
    </row>
    <row r="33" spans="1:10" ht="14.25" customHeight="1" x14ac:dyDescent="0.3">
      <c r="A33" s="51">
        <v>45495</v>
      </c>
      <c r="B33" s="15" t="s">
        <v>4</v>
      </c>
      <c r="C33" s="15">
        <v>804</v>
      </c>
      <c r="D33" s="15">
        <v>487</v>
      </c>
      <c r="E33" s="15">
        <v>306564</v>
      </c>
      <c r="F33" s="15">
        <v>5.52</v>
      </c>
      <c r="G33" s="15">
        <v>26452</v>
      </c>
      <c r="H33" s="52">
        <f>(((Table5[[#This Row],[New_Followers]]-Table5[[#This Row],[Unfollows]])+Table5[[#This Row],[Total_Followers]])/Table5[[#This Row],[Total_Followers]])</f>
        <v>1.0010340418313957</v>
      </c>
      <c r="I33" s="15">
        <f>Table5[[#This Row],[New_Followers]]-Table5[[#This Row],[Unfollows]]</f>
        <v>317</v>
      </c>
      <c r="J33" s="44"/>
    </row>
    <row r="34" spans="1:10" ht="14.25" customHeight="1" x14ac:dyDescent="0.3">
      <c r="A34" s="51">
        <v>45502</v>
      </c>
      <c r="B34" s="15" t="s">
        <v>2</v>
      </c>
      <c r="C34" s="15">
        <v>653</v>
      </c>
      <c r="D34" s="15">
        <v>112</v>
      </c>
      <c r="E34" s="15">
        <v>23664</v>
      </c>
      <c r="F34" s="15">
        <v>4.05</v>
      </c>
      <c r="G34" s="15">
        <v>15353</v>
      </c>
      <c r="H34" s="52">
        <f>(((Table5[[#This Row],[New_Followers]]-Table5[[#This Row],[Unfollows]])+Table5[[#This Row],[Total_Followers]])/Table5[[#This Row],[Total_Followers]])</f>
        <v>1.0228617308992562</v>
      </c>
      <c r="I34" s="15">
        <f>Table5[[#This Row],[New_Followers]]-Table5[[#This Row],[Unfollows]]</f>
        <v>541</v>
      </c>
      <c r="J34" s="44"/>
    </row>
    <row r="35" spans="1:10" ht="14.25" customHeight="1" x14ac:dyDescent="0.3">
      <c r="A35" s="51">
        <v>45502</v>
      </c>
      <c r="B35" s="15" t="s">
        <v>1</v>
      </c>
      <c r="C35" s="15">
        <v>160</v>
      </c>
      <c r="D35" s="15">
        <v>478</v>
      </c>
      <c r="E35" s="15">
        <v>435034</v>
      </c>
      <c r="F35" s="15">
        <v>7.73</v>
      </c>
      <c r="G35" s="15">
        <v>4839</v>
      </c>
      <c r="H35" s="52">
        <f>(((Table5[[#This Row],[New_Followers]]-Table5[[#This Row],[Unfollows]])+Table5[[#This Row],[Total_Followers]])/Table5[[#This Row],[Total_Followers]])</f>
        <v>0.99926902265110318</v>
      </c>
      <c r="I35" s="15">
        <f>Table5[[#This Row],[New_Followers]]-Table5[[#This Row],[Unfollows]]</f>
        <v>-318</v>
      </c>
      <c r="J35" s="44"/>
    </row>
    <row r="36" spans="1:10" ht="14.25" customHeight="1" x14ac:dyDescent="0.3">
      <c r="A36" s="51">
        <v>45502</v>
      </c>
      <c r="B36" s="15" t="s">
        <v>3</v>
      </c>
      <c r="C36" s="15">
        <v>1756</v>
      </c>
      <c r="D36" s="15">
        <v>261</v>
      </c>
      <c r="E36" s="15">
        <v>287574</v>
      </c>
      <c r="F36" s="15">
        <v>4.3600000000000003</v>
      </c>
      <c r="G36" s="15">
        <v>39272</v>
      </c>
      <c r="H36" s="52">
        <f>(((Table5[[#This Row],[New_Followers]]-Table5[[#This Row],[Unfollows]])+Table5[[#This Row],[Total_Followers]])/Table5[[#This Row],[Total_Followers]])</f>
        <v>1.0051986619096303</v>
      </c>
      <c r="I36" s="15">
        <f>Table5[[#This Row],[New_Followers]]-Table5[[#This Row],[Unfollows]]</f>
        <v>1495</v>
      </c>
      <c r="J36" s="44"/>
    </row>
    <row r="37" spans="1:10" ht="14.25" customHeight="1" x14ac:dyDescent="0.3">
      <c r="A37" s="51">
        <v>45502</v>
      </c>
      <c r="B37" s="15" t="s">
        <v>4</v>
      </c>
      <c r="C37" s="15">
        <v>576</v>
      </c>
      <c r="D37" s="15">
        <v>101</v>
      </c>
      <c r="E37" s="15">
        <v>62499</v>
      </c>
      <c r="F37" s="15">
        <v>3.48</v>
      </c>
      <c r="G37" s="15">
        <v>16804</v>
      </c>
      <c r="H37" s="52">
        <f>(((Table5[[#This Row],[New_Followers]]-Table5[[#This Row],[Unfollows]])+Table5[[#This Row],[Total_Followers]])/Table5[[#This Row],[Total_Followers]])</f>
        <v>1.0076001216019457</v>
      </c>
      <c r="I37" s="15">
        <f>Table5[[#This Row],[New_Followers]]-Table5[[#This Row],[Unfollows]]</f>
        <v>475</v>
      </c>
      <c r="J37" s="44"/>
    </row>
    <row r="38" spans="1:10" ht="14.25" customHeight="1" x14ac:dyDescent="0.3">
      <c r="A38" s="51">
        <v>45509</v>
      </c>
      <c r="B38" s="15" t="s">
        <v>2</v>
      </c>
      <c r="C38" s="15">
        <v>645</v>
      </c>
      <c r="D38" s="15">
        <v>293</v>
      </c>
      <c r="E38" s="15">
        <v>437968</v>
      </c>
      <c r="F38" s="15">
        <v>7.83</v>
      </c>
      <c r="G38" s="15">
        <v>49303</v>
      </c>
      <c r="H38" s="52">
        <f>(((Table5[[#This Row],[New_Followers]]-Table5[[#This Row],[Unfollows]])+Table5[[#This Row],[Total_Followers]])/Table5[[#This Row],[Total_Followers]])</f>
        <v>1.0008037116866986</v>
      </c>
      <c r="I38" s="15">
        <f>Table5[[#This Row],[New_Followers]]-Table5[[#This Row],[Unfollows]]</f>
        <v>352</v>
      </c>
      <c r="J38" s="44"/>
    </row>
    <row r="39" spans="1:10" ht="14.25" customHeight="1" x14ac:dyDescent="0.3">
      <c r="A39" s="51">
        <v>45509</v>
      </c>
      <c r="B39" s="15" t="s">
        <v>1</v>
      </c>
      <c r="C39" s="15">
        <v>214</v>
      </c>
      <c r="D39" s="15">
        <v>411</v>
      </c>
      <c r="E39" s="15">
        <v>125034</v>
      </c>
      <c r="F39" s="15">
        <v>6.11</v>
      </c>
      <c r="G39" s="15">
        <v>26455</v>
      </c>
      <c r="H39" s="52">
        <f>(((Table5[[#This Row],[New_Followers]]-Table5[[#This Row],[Unfollows]])+Table5[[#This Row],[Total_Followers]])/Table5[[#This Row],[Total_Followers]])</f>
        <v>0.9984244285554329</v>
      </c>
      <c r="I39" s="15">
        <f>Table5[[#This Row],[New_Followers]]-Table5[[#This Row],[Unfollows]]</f>
        <v>-197</v>
      </c>
      <c r="J39" s="44"/>
    </row>
    <row r="40" spans="1:10" ht="14.25" customHeight="1" x14ac:dyDescent="0.3">
      <c r="A40" s="51">
        <v>45509</v>
      </c>
      <c r="B40" s="15" t="s">
        <v>3</v>
      </c>
      <c r="C40" s="15">
        <v>826</v>
      </c>
      <c r="D40" s="15">
        <v>498</v>
      </c>
      <c r="E40" s="15">
        <v>449994</v>
      </c>
      <c r="F40" s="15">
        <v>9.43</v>
      </c>
      <c r="G40" s="15">
        <v>12384</v>
      </c>
      <c r="H40" s="52">
        <f>(((Table5[[#This Row],[New_Followers]]-Table5[[#This Row],[Unfollows]])+Table5[[#This Row],[Total_Followers]])/Table5[[#This Row],[Total_Followers]])</f>
        <v>1.0007288986075369</v>
      </c>
      <c r="I40" s="15">
        <f>Table5[[#This Row],[New_Followers]]-Table5[[#This Row],[Unfollows]]</f>
        <v>328</v>
      </c>
      <c r="J40" s="44"/>
    </row>
    <row r="41" spans="1:10" ht="14.25" customHeight="1" x14ac:dyDescent="0.3">
      <c r="A41" s="51">
        <v>45509</v>
      </c>
      <c r="B41" s="15" t="s">
        <v>4</v>
      </c>
      <c r="C41" s="15">
        <v>460</v>
      </c>
      <c r="D41" s="15">
        <v>141</v>
      </c>
      <c r="E41" s="15">
        <v>320650</v>
      </c>
      <c r="F41" s="15">
        <v>4.04</v>
      </c>
      <c r="G41" s="15">
        <v>49372</v>
      </c>
      <c r="H41" s="52">
        <f>(((Table5[[#This Row],[New_Followers]]-Table5[[#This Row],[Unfollows]])+Table5[[#This Row],[Total_Followers]])/Table5[[#This Row],[Total_Followers]])</f>
        <v>1.0009948542024014</v>
      </c>
      <c r="I41" s="15">
        <f>Table5[[#This Row],[New_Followers]]-Table5[[#This Row],[Unfollows]]</f>
        <v>319</v>
      </c>
      <c r="J41" s="44"/>
    </row>
    <row r="42" spans="1:10" ht="14.25" customHeight="1" x14ac:dyDescent="0.3">
      <c r="A42" s="51">
        <v>45516</v>
      </c>
      <c r="B42" s="15" t="s">
        <v>2</v>
      </c>
      <c r="C42" s="15">
        <v>1528</v>
      </c>
      <c r="D42" s="15">
        <v>203</v>
      </c>
      <c r="E42" s="15">
        <v>489188</v>
      </c>
      <c r="F42" s="15">
        <v>6.23</v>
      </c>
      <c r="G42" s="15">
        <v>47101</v>
      </c>
      <c r="H42" s="52">
        <f>(((Table5[[#This Row],[New_Followers]]-Table5[[#This Row],[Unfollows]])+Table5[[#This Row],[Total_Followers]])/Table5[[#This Row],[Total_Followers]])</f>
        <v>1.0027085701202809</v>
      </c>
      <c r="I42" s="15">
        <f>Table5[[#This Row],[New_Followers]]-Table5[[#This Row],[Unfollows]]</f>
        <v>1325</v>
      </c>
      <c r="J42" s="44"/>
    </row>
    <row r="43" spans="1:10" ht="14.25" customHeight="1" x14ac:dyDescent="0.3">
      <c r="A43" s="51">
        <v>45516</v>
      </c>
      <c r="B43" s="15" t="s">
        <v>1</v>
      </c>
      <c r="C43" s="15">
        <v>1534</v>
      </c>
      <c r="D43" s="15">
        <v>200</v>
      </c>
      <c r="E43" s="15">
        <v>307612</v>
      </c>
      <c r="F43" s="15">
        <v>6.01</v>
      </c>
      <c r="G43" s="15">
        <v>37903</v>
      </c>
      <c r="H43" s="52">
        <f>(((Table5[[#This Row],[New_Followers]]-Table5[[#This Row],[Unfollows]])+Table5[[#This Row],[Total_Followers]])/Table5[[#This Row],[Total_Followers]])</f>
        <v>1.0043366318609157</v>
      </c>
      <c r="I43" s="15">
        <f>Table5[[#This Row],[New_Followers]]-Table5[[#This Row],[Unfollows]]</f>
        <v>1334</v>
      </c>
      <c r="J43" s="44"/>
    </row>
    <row r="44" spans="1:10" ht="14.25" customHeight="1" x14ac:dyDescent="0.3">
      <c r="A44" s="51">
        <v>45516</v>
      </c>
      <c r="B44" s="15" t="s">
        <v>3</v>
      </c>
      <c r="C44" s="15">
        <v>485</v>
      </c>
      <c r="D44" s="15">
        <v>448</v>
      </c>
      <c r="E44" s="15">
        <v>434883</v>
      </c>
      <c r="F44" s="15">
        <v>8.5500000000000007</v>
      </c>
      <c r="G44" s="15">
        <v>33258</v>
      </c>
      <c r="H44" s="52">
        <f>(((Table5[[#This Row],[New_Followers]]-Table5[[#This Row],[Unfollows]])+Table5[[#This Row],[Total_Followers]])/Table5[[#This Row],[Total_Followers]])</f>
        <v>1.0000850803549461</v>
      </c>
      <c r="I44" s="15">
        <f>Table5[[#This Row],[New_Followers]]-Table5[[#This Row],[Unfollows]]</f>
        <v>37</v>
      </c>
      <c r="J44" s="44"/>
    </row>
    <row r="45" spans="1:10" ht="14.25" customHeight="1" x14ac:dyDescent="0.3">
      <c r="A45" s="51">
        <v>45516</v>
      </c>
      <c r="B45" s="15" t="s">
        <v>4</v>
      </c>
      <c r="C45" s="15">
        <v>1210</v>
      </c>
      <c r="D45" s="15">
        <v>178</v>
      </c>
      <c r="E45" s="15">
        <v>102042</v>
      </c>
      <c r="F45" s="15">
        <v>5.42</v>
      </c>
      <c r="G45" s="15">
        <v>6915</v>
      </c>
      <c r="H45" s="52">
        <f>(((Table5[[#This Row],[New_Followers]]-Table5[[#This Row],[Unfollows]])+Table5[[#This Row],[Total_Followers]])/Table5[[#This Row],[Total_Followers]])</f>
        <v>1.0101134826836009</v>
      </c>
      <c r="I45" s="15">
        <f>Table5[[#This Row],[New_Followers]]-Table5[[#This Row],[Unfollows]]</f>
        <v>1032</v>
      </c>
      <c r="J45" s="44"/>
    </row>
    <row r="46" spans="1:10" ht="14.25" customHeight="1" x14ac:dyDescent="0.3">
      <c r="A46" s="51">
        <v>45523</v>
      </c>
      <c r="B46" s="15" t="s">
        <v>2</v>
      </c>
      <c r="C46" s="15">
        <v>215</v>
      </c>
      <c r="D46" s="15">
        <v>139</v>
      </c>
      <c r="E46" s="15">
        <v>325444</v>
      </c>
      <c r="F46" s="15">
        <v>3.25</v>
      </c>
      <c r="G46" s="15">
        <v>35501</v>
      </c>
      <c r="H46" s="52">
        <f>(((Table5[[#This Row],[New_Followers]]-Table5[[#This Row],[Unfollows]])+Table5[[#This Row],[Total_Followers]])/Table5[[#This Row],[Total_Followers]])</f>
        <v>1.0002335271198732</v>
      </c>
      <c r="I46" s="15">
        <f>Table5[[#This Row],[New_Followers]]-Table5[[#This Row],[Unfollows]]</f>
        <v>76</v>
      </c>
      <c r="J46" s="44"/>
    </row>
    <row r="47" spans="1:10" ht="14.25" customHeight="1" x14ac:dyDescent="0.3">
      <c r="A47" s="51">
        <v>45523</v>
      </c>
      <c r="B47" s="15" t="s">
        <v>1</v>
      </c>
      <c r="C47" s="15">
        <v>1078</v>
      </c>
      <c r="D47" s="15">
        <v>20</v>
      </c>
      <c r="E47" s="15">
        <v>183924</v>
      </c>
      <c r="F47" s="15">
        <v>8.84</v>
      </c>
      <c r="G47" s="15">
        <v>14203</v>
      </c>
      <c r="H47" s="52">
        <f>(((Table5[[#This Row],[New_Followers]]-Table5[[#This Row],[Unfollows]])+Table5[[#This Row],[Total_Followers]])/Table5[[#This Row],[Total_Followers]])</f>
        <v>1.0057523759813836</v>
      </c>
      <c r="I47" s="15">
        <f>Table5[[#This Row],[New_Followers]]-Table5[[#This Row],[Unfollows]]</f>
        <v>1058</v>
      </c>
      <c r="J47" s="44"/>
    </row>
    <row r="48" spans="1:10" ht="14.25" customHeight="1" x14ac:dyDescent="0.3">
      <c r="A48" s="51">
        <v>45523</v>
      </c>
      <c r="B48" s="15" t="s">
        <v>3</v>
      </c>
      <c r="C48" s="15">
        <v>1751</v>
      </c>
      <c r="D48" s="15">
        <v>86</v>
      </c>
      <c r="E48" s="15">
        <v>188655</v>
      </c>
      <c r="F48" s="15">
        <v>7.24</v>
      </c>
      <c r="G48" s="15">
        <v>22206</v>
      </c>
      <c r="H48" s="52">
        <f>(((Table5[[#This Row],[New_Followers]]-Table5[[#This Row],[Unfollows]])+Table5[[#This Row],[Total_Followers]])/Table5[[#This Row],[Total_Followers]])</f>
        <v>1.0088256340939812</v>
      </c>
      <c r="I48" s="15">
        <f>Table5[[#This Row],[New_Followers]]-Table5[[#This Row],[Unfollows]]</f>
        <v>1665</v>
      </c>
      <c r="J48" s="44"/>
    </row>
    <row r="49" spans="1:10" ht="14.25" customHeight="1" x14ac:dyDescent="0.3">
      <c r="A49" s="51">
        <v>45523</v>
      </c>
      <c r="B49" s="15" t="s">
        <v>4</v>
      </c>
      <c r="C49" s="15">
        <v>221</v>
      </c>
      <c r="D49" s="15">
        <v>31</v>
      </c>
      <c r="E49" s="15">
        <v>87443</v>
      </c>
      <c r="F49" s="15">
        <v>6.19</v>
      </c>
      <c r="G49" s="15">
        <v>10283</v>
      </c>
      <c r="H49" s="52">
        <f>(((Table5[[#This Row],[New_Followers]]-Table5[[#This Row],[Unfollows]])+Table5[[#This Row],[Total_Followers]])/Table5[[#This Row],[Total_Followers]])</f>
        <v>1.0021728440241071</v>
      </c>
      <c r="I49" s="15">
        <f>Table5[[#This Row],[New_Followers]]-Table5[[#This Row],[Unfollows]]</f>
        <v>190</v>
      </c>
      <c r="J49" s="44"/>
    </row>
    <row r="50" spans="1:10" ht="14.25" customHeight="1" x14ac:dyDescent="0.3">
      <c r="A50" s="51">
        <v>45530</v>
      </c>
      <c r="B50" s="15" t="s">
        <v>2</v>
      </c>
      <c r="C50" s="15">
        <v>1685</v>
      </c>
      <c r="D50" s="15">
        <v>76</v>
      </c>
      <c r="E50" s="15">
        <v>453799</v>
      </c>
      <c r="F50" s="15">
        <v>5.71</v>
      </c>
      <c r="G50" s="15">
        <v>24913</v>
      </c>
      <c r="H50" s="52">
        <f>(((Table5[[#This Row],[New_Followers]]-Table5[[#This Row],[Unfollows]])+Table5[[#This Row],[Total_Followers]])/Table5[[#This Row],[Total_Followers]])</f>
        <v>1.003545622621469</v>
      </c>
      <c r="I50" s="15">
        <f>Table5[[#This Row],[New_Followers]]-Table5[[#This Row],[Unfollows]]</f>
        <v>1609</v>
      </c>
      <c r="J50" s="44"/>
    </row>
    <row r="51" spans="1:10" ht="14.25" customHeight="1" x14ac:dyDescent="0.3">
      <c r="A51" s="51">
        <v>45530</v>
      </c>
      <c r="B51" s="15" t="s">
        <v>1</v>
      </c>
      <c r="C51" s="15">
        <v>248</v>
      </c>
      <c r="D51" s="15">
        <v>211</v>
      </c>
      <c r="E51" s="15">
        <v>379380</v>
      </c>
      <c r="F51" s="15">
        <v>9.0399999999999991</v>
      </c>
      <c r="G51" s="15">
        <v>26925</v>
      </c>
      <c r="H51" s="52">
        <f>(((Table5[[#This Row],[New_Followers]]-Table5[[#This Row],[Unfollows]])+Table5[[#This Row],[Total_Followers]])/Table5[[#This Row],[Total_Followers]])</f>
        <v>1.0000975275449417</v>
      </c>
      <c r="I51" s="15">
        <f>Table5[[#This Row],[New_Followers]]-Table5[[#This Row],[Unfollows]]</f>
        <v>37</v>
      </c>
      <c r="J51" s="44"/>
    </row>
    <row r="52" spans="1:10" ht="14.25" customHeight="1" x14ac:dyDescent="0.3">
      <c r="A52" s="51">
        <v>45530</v>
      </c>
      <c r="B52" s="15" t="s">
        <v>3</v>
      </c>
      <c r="C52" s="15">
        <v>1300</v>
      </c>
      <c r="D52" s="15">
        <v>71</v>
      </c>
      <c r="E52" s="15">
        <v>186454</v>
      </c>
      <c r="F52" s="15">
        <v>3.91</v>
      </c>
      <c r="G52" s="15">
        <v>9942</v>
      </c>
      <c r="H52" s="52">
        <f>(((Table5[[#This Row],[New_Followers]]-Table5[[#This Row],[Unfollows]])+Table5[[#This Row],[Total_Followers]])/Table5[[#This Row],[Total_Followers]])</f>
        <v>1.0065914381026955</v>
      </c>
      <c r="I52" s="15">
        <f>Table5[[#This Row],[New_Followers]]-Table5[[#This Row],[Unfollows]]</f>
        <v>1229</v>
      </c>
      <c r="J52" s="44"/>
    </row>
    <row r="53" spans="1:10" ht="14.25" customHeight="1" x14ac:dyDescent="0.3">
      <c r="A53" s="51">
        <v>45530</v>
      </c>
      <c r="B53" s="15" t="s">
        <v>4</v>
      </c>
      <c r="C53" s="15">
        <v>422</v>
      </c>
      <c r="D53" s="15">
        <v>394</v>
      </c>
      <c r="E53" s="15">
        <v>239044</v>
      </c>
      <c r="F53" s="15">
        <v>7.83</v>
      </c>
      <c r="G53" s="15">
        <v>32929</v>
      </c>
      <c r="H53" s="52">
        <f>(((Table5[[#This Row],[New_Followers]]-Table5[[#This Row],[Unfollows]])+Table5[[#This Row],[Total_Followers]])/Table5[[#This Row],[Total_Followers]])</f>
        <v>1.0001171332474357</v>
      </c>
      <c r="I53" s="15">
        <f>Table5[[#This Row],[New_Followers]]-Table5[[#This Row],[Unfollows]]</f>
        <v>28</v>
      </c>
      <c r="J53" s="44"/>
    </row>
    <row r="54" spans="1:10" ht="14.25" customHeight="1" x14ac:dyDescent="0.3">
      <c r="A54" s="51">
        <v>45537</v>
      </c>
      <c r="B54" s="15" t="s">
        <v>2</v>
      </c>
      <c r="C54" s="15">
        <v>1429</v>
      </c>
      <c r="D54" s="15">
        <v>182</v>
      </c>
      <c r="E54" s="15">
        <v>101332</v>
      </c>
      <c r="F54" s="15">
        <v>7.16</v>
      </c>
      <c r="G54" s="15">
        <v>37829</v>
      </c>
      <c r="H54" s="52">
        <f>(((Table5[[#This Row],[New_Followers]]-Table5[[#This Row],[Unfollows]])+Table5[[#This Row],[Total_Followers]])/Table5[[#This Row],[Total_Followers]])</f>
        <v>1.0123060829747761</v>
      </c>
      <c r="I54" s="15">
        <f>Table5[[#This Row],[New_Followers]]-Table5[[#This Row],[Unfollows]]</f>
        <v>1247</v>
      </c>
      <c r="J54" s="44"/>
    </row>
    <row r="55" spans="1:10" ht="14.25" customHeight="1" x14ac:dyDescent="0.3">
      <c r="A55" s="51">
        <v>45537</v>
      </c>
      <c r="B55" s="15" t="s">
        <v>1</v>
      </c>
      <c r="C55" s="15">
        <v>1520</v>
      </c>
      <c r="D55" s="15">
        <v>475</v>
      </c>
      <c r="E55" s="15">
        <v>496982</v>
      </c>
      <c r="F55" s="15">
        <v>6.41</v>
      </c>
      <c r="G55" s="15">
        <v>24384</v>
      </c>
      <c r="H55" s="52">
        <f>(((Table5[[#This Row],[New_Followers]]-Table5[[#This Row],[Unfollows]])+Table5[[#This Row],[Total_Followers]])/Table5[[#This Row],[Total_Followers]])</f>
        <v>1.0021026918479945</v>
      </c>
      <c r="I55" s="15">
        <f>Table5[[#This Row],[New_Followers]]-Table5[[#This Row],[Unfollows]]</f>
        <v>1045</v>
      </c>
      <c r="J55" s="44"/>
    </row>
    <row r="56" spans="1:10" ht="14.25" customHeight="1" x14ac:dyDescent="0.3">
      <c r="A56" s="51">
        <v>45537</v>
      </c>
      <c r="B56" s="15" t="s">
        <v>3</v>
      </c>
      <c r="C56" s="15">
        <v>557</v>
      </c>
      <c r="D56" s="15">
        <v>360</v>
      </c>
      <c r="E56" s="15">
        <v>318779</v>
      </c>
      <c r="F56" s="15">
        <v>8.02</v>
      </c>
      <c r="G56" s="15">
        <v>25797</v>
      </c>
      <c r="H56" s="52">
        <f>(((Table5[[#This Row],[New_Followers]]-Table5[[#This Row],[Unfollows]])+Table5[[#This Row],[Total_Followers]])/Table5[[#This Row],[Total_Followers]])</f>
        <v>1.0006179829913513</v>
      </c>
      <c r="I56" s="15">
        <f>Table5[[#This Row],[New_Followers]]-Table5[[#This Row],[Unfollows]]</f>
        <v>197</v>
      </c>
      <c r="J56" s="44"/>
    </row>
    <row r="57" spans="1:10" ht="14.25" customHeight="1" x14ac:dyDescent="0.3">
      <c r="A57" s="51">
        <v>45537</v>
      </c>
      <c r="B57" s="15" t="s">
        <v>4</v>
      </c>
      <c r="C57" s="15">
        <v>728</v>
      </c>
      <c r="D57" s="15">
        <v>395</v>
      </c>
      <c r="E57" s="15">
        <v>370971</v>
      </c>
      <c r="F57" s="15">
        <v>3.86</v>
      </c>
      <c r="G57" s="15">
        <v>12646</v>
      </c>
      <c r="H57" s="52">
        <f>(((Table5[[#This Row],[New_Followers]]-Table5[[#This Row],[Unfollows]])+Table5[[#This Row],[Total_Followers]])/Table5[[#This Row],[Total_Followers]])</f>
        <v>1.0008976442902544</v>
      </c>
      <c r="I57" s="15">
        <f>Table5[[#This Row],[New_Followers]]-Table5[[#This Row],[Unfollows]]</f>
        <v>333</v>
      </c>
      <c r="J57" s="44"/>
    </row>
    <row r="58" spans="1:10" ht="14.25" customHeight="1" x14ac:dyDescent="0.3">
      <c r="A58" s="51">
        <v>45544</v>
      </c>
      <c r="B58" s="15" t="s">
        <v>2</v>
      </c>
      <c r="C58" s="15">
        <v>1592</v>
      </c>
      <c r="D58" s="15">
        <v>20</v>
      </c>
      <c r="E58" s="15">
        <v>378054</v>
      </c>
      <c r="F58" s="15">
        <v>9.09</v>
      </c>
      <c r="G58" s="15">
        <v>26663</v>
      </c>
      <c r="H58" s="52">
        <f>(((Table5[[#This Row],[New_Followers]]-Table5[[#This Row],[Unfollows]])+Table5[[#This Row],[Total_Followers]])/Table5[[#This Row],[Total_Followers]])</f>
        <v>1.0041581361392817</v>
      </c>
      <c r="I58" s="15">
        <f>Table5[[#This Row],[New_Followers]]-Table5[[#This Row],[Unfollows]]</f>
        <v>1572</v>
      </c>
      <c r="J58" s="44"/>
    </row>
    <row r="59" spans="1:10" ht="14.25" customHeight="1" x14ac:dyDescent="0.3">
      <c r="A59" s="51">
        <v>45544</v>
      </c>
      <c r="B59" s="15" t="s">
        <v>1</v>
      </c>
      <c r="C59" s="15">
        <v>1842</v>
      </c>
      <c r="D59" s="15">
        <v>414</v>
      </c>
      <c r="E59" s="15">
        <v>307524</v>
      </c>
      <c r="F59" s="15">
        <v>1.76</v>
      </c>
      <c r="G59" s="15">
        <v>40478</v>
      </c>
      <c r="H59" s="52">
        <f>(((Table5[[#This Row],[New_Followers]]-Table5[[#This Row],[Unfollows]])+Table5[[#This Row],[Total_Followers]])/Table5[[#This Row],[Total_Followers]])</f>
        <v>1.0046435400163889</v>
      </c>
      <c r="I59" s="15">
        <f>Table5[[#This Row],[New_Followers]]-Table5[[#This Row],[Unfollows]]</f>
        <v>1428</v>
      </c>
      <c r="J59" s="44"/>
    </row>
    <row r="60" spans="1:10" ht="14.25" customHeight="1" x14ac:dyDescent="0.3">
      <c r="A60" s="51">
        <v>45544</v>
      </c>
      <c r="B60" s="15" t="s">
        <v>3</v>
      </c>
      <c r="C60" s="15">
        <v>751</v>
      </c>
      <c r="D60" s="15">
        <v>491</v>
      </c>
      <c r="E60" s="15">
        <v>434047</v>
      </c>
      <c r="F60" s="15">
        <v>9.24</v>
      </c>
      <c r="G60" s="15">
        <v>15476</v>
      </c>
      <c r="H60" s="52">
        <f>(((Table5[[#This Row],[New_Followers]]-Table5[[#This Row],[Unfollows]])+Table5[[#This Row],[Total_Followers]])/Table5[[#This Row],[Total_Followers]])</f>
        <v>1.0005990134708913</v>
      </c>
      <c r="I60" s="15">
        <f>Table5[[#This Row],[New_Followers]]-Table5[[#This Row],[Unfollows]]</f>
        <v>260</v>
      </c>
      <c r="J60" s="44"/>
    </row>
    <row r="61" spans="1:10" ht="14.25" customHeight="1" x14ac:dyDescent="0.3">
      <c r="A61" s="51">
        <v>45544</v>
      </c>
      <c r="B61" s="15" t="s">
        <v>4</v>
      </c>
      <c r="C61" s="15">
        <v>1409</v>
      </c>
      <c r="D61" s="15">
        <v>309</v>
      </c>
      <c r="E61" s="15">
        <v>64583</v>
      </c>
      <c r="F61" s="15">
        <v>8.99</v>
      </c>
      <c r="G61" s="15">
        <v>10217</v>
      </c>
      <c r="H61" s="52">
        <f>(((Table5[[#This Row],[New_Followers]]-Table5[[#This Row],[Unfollows]])+Table5[[#This Row],[Total_Followers]])/Table5[[#This Row],[Total_Followers]])</f>
        <v>1.0170323459733985</v>
      </c>
      <c r="I61" s="15">
        <f>Table5[[#This Row],[New_Followers]]-Table5[[#This Row],[Unfollows]]</f>
        <v>1100</v>
      </c>
      <c r="J61" s="44"/>
    </row>
    <row r="62" spans="1:10" ht="14.25" customHeight="1" x14ac:dyDescent="0.3">
      <c r="A62" s="51">
        <v>45551</v>
      </c>
      <c r="B62" s="15" t="s">
        <v>2</v>
      </c>
      <c r="C62" s="15">
        <v>778</v>
      </c>
      <c r="D62" s="15">
        <v>401</v>
      </c>
      <c r="E62" s="15">
        <v>50793</v>
      </c>
      <c r="F62" s="15">
        <v>3.4</v>
      </c>
      <c r="G62" s="15">
        <v>21939</v>
      </c>
      <c r="H62" s="52">
        <f>(((Table5[[#This Row],[New_Followers]]-Table5[[#This Row],[Unfollows]])+Table5[[#This Row],[Total_Followers]])/Table5[[#This Row],[Total_Followers]])</f>
        <v>1.0074222825979957</v>
      </c>
      <c r="I62" s="15">
        <f>Table5[[#This Row],[New_Followers]]-Table5[[#This Row],[Unfollows]]</f>
        <v>377</v>
      </c>
      <c r="J62" s="44"/>
    </row>
    <row r="63" spans="1:10" ht="14.25" customHeight="1" x14ac:dyDescent="0.3">
      <c r="A63" s="51">
        <v>45551</v>
      </c>
      <c r="B63" s="15" t="s">
        <v>1</v>
      </c>
      <c r="C63" s="15">
        <v>443</v>
      </c>
      <c r="D63" s="15">
        <v>345</v>
      </c>
      <c r="E63" s="15">
        <v>474162</v>
      </c>
      <c r="F63" s="15">
        <v>9.1999999999999993</v>
      </c>
      <c r="G63" s="15">
        <v>47462</v>
      </c>
      <c r="H63" s="52">
        <f>(((Table5[[#This Row],[New_Followers]]-Table5[[#This Row],[Unfollows]])+Table5[[#This Row],[Total_Followers]])/Table5[[#This Row],[Total_Followers]])</f>
        <v>1.0002066804172414</v>
      </c>
      <c r="I63" s="15">
        <f>Table5[[#This Row],[New_Followers]]-Table5[[#This Row],[Unfollows]]</f>
        <v>98</v>
      </c>
      <c r="J63" s="44"/>
    </row>
    <row r="64" spans="1:10" ht="14.25" customHeight="1" x14ac:dyDescent="0.3">
      <c r="A64" s="51">
        <v>45551</v>
      </c>
      <c r="B64" s="15" t="s">
        <v>3</v>
      </c>
      <c r="C64" s="15">
        <v>1472</v>
      </c>
      <c r="D64" s="15">
        <v>347</v>
      </c>
      <c r="E64" s="15">
        <v>392355</v>
      </c>
      <c r="F64" s="15">
        <v>8.59</v>
      </c>
      <c r="G64" s="15">
        <v>30270</v>
      </c>
      <c r="H64" s="52">
        <f>(((Table5[[#This Row],[New_Followers]]-Table5[[#This Row],[Unfollows]])+Table5[[#This Row],[Total_Followers]])/Table5[[#This Row],[Total_Followers]])</f>
        <v>1.0028673012960201</v>
      </c>
      <c r="I64" s="15">
        <f>Table5[[#This Row],[New_Followers]]-Table5[[#This Row],[Unfollows]]</f>
        <v>1125</v>
      </c>
      <c r="J64" s="44"/>
    </row>
    <row r="65" spans="1:10" ht="14.25" customHeight="1" x14ac:dyDescent="0.3">
      <c r="A65" s="51">
        <v>45551</v>
      </c>
      <c r="B65" s="15" t="s">
        <v>4</v>
      </c>
      <c r="C65" s="15">
        <v>123</v>
      </c>
      <c r="D65" s="15">
        <v>155</v>
      </c>
      <c r="E65" s="15">
        <v>119934</v>
      </c>
      <c r="F65" s="15">
        <v>3.5</v>
      </c>
      <c r="G65" s="15">
        <v>5442</v>
      </c>
      <c r="H65" s="52">
        <f>(((Table5[[#This Row],[New_Followers]]-Table5[[#This Row],[Unfollows]])+Table5[[#This Row],[Total_Followers]])/Table5[[#This Row],[Total_Followers]])</f>
        <v>0.99973318658595556</v>
      </c>
      <c r="I65" s="15">
        <f>Table5[[#This Row],[New_Followers]]-Table5[[#This Row],[Unfollows]]</f>
        <v>-32</v>
      </c>
      <c r="J65" s="44"/>
    </row>
    <row r="66" spans="1:10" ht="14.25" customHeight="1" x14ac:dyDescent="0.3">
      <c r="A66" s="51">
        <v>45558</v>
      </c>
      <c r="B66" s="15" t="s">
        <v>2</v>
      </c>
      <c r="C66" s="15">
        <v>817</v>
      </c>
      <c r="D66" s="15">
        <v>151</v>
      </c>
      <c r="E66" s="15">
        <v>422625</v>
      </c>
      <c r="F66" s="15">
        <v>2.36</v>
      </c>
      <c r="G66" s="15">
        <v>1083</v>
      </c>
      <c r="H66" s="52">
        <f>(((Table5[[#This Row],[New_Followers]]-Table5[[#This Row],[Unfollows]])+Table5[[#This Row],[Total_Followers]])/Table5[[#This Row],[Total_Followers]])</f>
        <v>1.0015758651286601</v>
      </c>
      <c r="I66" s="15">
        <f>Table5[[#This Row],[New_Followers]]-Table5[[#This Row],[Unfollows]]</f>
        <v>666</v>
      </c>
      <c r="J66" s="44"/>
    </row>
    <row r="67" spans="1:10" ht="14.25" customHeight="1" x14ac:dyDescent="0.3">
      <c r="A67" s="51">
        <v>45558</v>
      </c>
      <c r="B67" s="15" t="s">
        <v>1</v>
      </c>
      <c r="C67" s="15">
        <v>198</v>
      </c>
      <c r="D67" s="15">
        <v>217</v>
      </c>
      <c r="E67" s="15">
        <v>239753</v>
      </c>
      <c r="F67" s="15">
        <v>7.36</v>
      </c>
      <c r="G67" s="15">
        <v>11901</v>
      </c>
      <c r="H67" s="52">
        <f>(((Table5[[#This Row],[New_Followers]]-Table5[[#This Row],[Unfollows]])+Table5[[#This Row],[Total_Followers]])/Table5[[#This Row],[Total_Followers]])</f>
        <v>0.99992075177370043</v>
      </c>
      <c r="I67" s="15">
        <f>Table5[[#This Row],[New_Followers]]-Table5[[#This Row],[Unfollows]]</f>
        <v>-19</v>
      </c>
      <c r="J67" s="44"/>
    </row>
    <row r="68" spans="1:10" ht="14.25" customHeight="1" x14ac:dyDescent="0.3">
      <c r="A68" s="51">
        <v>45558</v>
      </c>
      <c r="B68" s="15" t="s">
        <v>3</v>
      </c>
      <c r="C68" s="15">
        <v>1911</v>
      </c>
      <c r="D68" s="15">
        <v>231</v>
      </c>
      <c r="E68" s="15">
        <v>268516</v>
      </c>
      <c r="F68" s="15">
        <v>8.5500000000000007</v>
      </c>
      <c r="G68" s="15">
        <v>24018</v>
      </c>
      <c r="H68" s="52">
        <f>(((Table5[[#This Row],[New_Followers]]-Table5[[#This Row],[Unfollows]])+Table5[[#This Row],[Total_Followers]])/Table5[[#This Row],[Total_Followers]])</f>
        <v>1.0062566104068287</v>
      </c>
      <c r="I68" s="15">
        <f>Table5[[#This Row],[New_Followers]]-Table5[[#This Row],[Unfollows]]</f>
        <v>1680</v>
      </c>
      <c r="J68" s="44"/>
    </row>
    <row r="69" spans="1:10" ht="14.25" customHeight="1" x14ac:dyDescent="0.3">
      <c r="A69" s="51">
        <v>45558</v>
      </c>
      <c r="B69" s="15" t="s">
        <v>4</v>
      </c>
      <c r="C69" s="15">
        <v>1218</v>
      </c>
      <c r="D69" s="15">
        <v>212</v>
      </c>
      <c r="E69" s="15">
        <v>63177</v>
      </c>
      <c r="F69" s="15">
        <v>8.1300000000000008</v>
      </c>
      <c r="G69" s="15">
        <v>38883</v>
      </c>
      <c r="H69" s="52">
        <f>(((Table5[[#This Row],[New_Followers]]-Table5[[#This Row],[Unfollows]])+Table5[[#This Row],[Total_Followers]])/Table5[[#This Row],[Total_Followers]])</f>
        <v>1.0159235164696012</v>
      </c>
      <c r="I69" s="15">
        <f>Table5[[#This Row],[New_Followers]]-Table5[[#This Row],[Unfollows]]</f>
        <v>1006</v>
      </c>
      <c r="J69" s="44"/>
    </row>
    <row r="70" spans="1:10" ht="14.25" customHeight="1" x14ac:dyDescent="0.3">
      <c r="A70" s="51">
        <v>45565</v>
      </c>
      <c r="B70" s="15" t="s">
        <v>2</v>
      </c>
      <c r="C70" s="15">
        <v>1433</v>
      </c>
      <c r="D70" s="15">
        <v>408</v>
      </c>
      <c r="E70" s="15">
        <v>370269</v>
      </c>
      <c r="F70" s="15">
        <v>3.3</v>
      </c>
      <c r="G70" s="15">
        <v>30575</v>
      </c>
      <c r="H70" s="52">
        <f>(((Table5[[#This Row],[New_Followers]]-Table5[[#This Row],[Unfollows]])+Table5[[#This Row],[Total_Followers]])/Table5[[#This Row],[Total_Followers]])</f>
        <v>1.0027682576721249</v>
      </c>
      <c r="I70" s="15">
        <f>Table5[[#This Row],[New_Followers]]-Table5[[#This Row],[Unfollows]]</f>
        <v>1025</v>
      </c>
      <c r="J70" s="44"/>
    </row>
    <row r="71" spans="1:10" ht="14.25" customHeight="1" x14ac:dyDescent="0.3">
      <c r="A71" s="51">
        <v>45565</v>
      </c>
      <c r="B71" s="15" t="s">
        <v>1</v>
      </c>
      <c r="C71" s="15">
        <v>250</v>
      </c>
      <c r="D71" s="15">
        <v>429</v>
      </c>
      <c r="E71" s="15">
        <v>453423</v>
      </c>
      <c r="F71" s="15">
        <v>1.77</v>
      </c>
      <c r="G71" s="15">
        <v>2315</v>
      </c>
      <c r="H71" s="52">
        <f>(((Table5[[#This Row],[New_Followers]]-Table5[[#This Row],[Unfollows]])+Table5[[#This Row],[Total_Followers]])/Table5[[#This Row],[Total_Followers]])</f>
        <v>0.99960522514296801</v>
      </c>
      <c r="I71" s="15">
        <f>Table5[[#This Row],[New_Followers]]-Table5[[#This Row],[Unfollows]]</f>
        <v>-179</v>
      </c>
      <c r="J71" s="44"/>
    </row>
    <row r="72" spans="1:10" ht="14.25" customHeight="1" x14ac:dyDescent="0.3">
      <c r="A72" s="51">
        <v>45565</v>
      </c>
      <c r="B72" s="15" t="s">
        <v>3</v>
      </c>
      <c r="C72" s="15">
        <v>752</v>
      </c>
      <c r="D72" s="15">
        <v>153</v>
      </c>
      <c r="E72" s="15">
        <v>64906</v>
      </c>
      <c r="F72" s="15">
        <v>2.09</v>
      </c>
      <c r="G72" s="15">
        <v>12148</v>
      </c>
      <c r="H72" s="52">
        <f>(((Table5[[#This Row],[New_Followers]]-Table5[[#This Row],[Unfollows]])+Table5[[#This Row],[Total_Followers]])/Table5[[#This Row],[Total_Followers]])</f>
        <v>1.0092287307798971</v>
      </c>
      <c r="I72" s="15">
        <f>Table5[[#This Row],[New_Followers]]-Table5[[#This Row],[Unfollows]]</f>
        <v>599</v>
      </c>
      <c r="J72" s="44"/>
    </row>
    <row r="73" spans="1:10" ht="14.25" customHeight="1" x14ac:dyDescent="0.3">
      <c r="A73" s="51">
        <v>45565</v>
      </c>
      <c r="B73" s="15" t="s">
        <v>4</v>
      </c>
      <c r="C73" s="15">
        <v>1918</v>
      </c>
      <c r="D73" s="15">
        <v>212</v>
      </c>
      <c r="E73" s="15">
        <v>94360</v>
      </c>
      <c r="F73" s="15">
        <v>7.36</v>
      </c>
      <c r="G73" s="15">
        <v>36851</v>
      </c>
      <c r="H73" s="52">
        <f>(((Table5[[#This Row],[New_Followers]]-Table5[[#This Row],[Unfollows]])+Table5[[#This Row],[Total_Followers]])/Table5[[#This Row],[Total_Followers]])</f>
        <v>1.0180796947859263</v>
      </c>
      <c r="I73" s="15">
        <f>Table5[[#This Row],[New_Followers]]-Table5[[#This Row],[Unfollows]]</f>
        <v>1706</v>
      </c>
      <c r="J73" s="44"/>
    </row>
    <row r="74" spans="1:10" ht="14.25" customHeight="1" x14ac:dyDescent="0.3">
      <c r="A74" s="51">
        <v>45572</v>
      </c>
      <c r="B74" s="15" t="s">
        <v>2</v>
      </c>
      <c r="C74" s="15">
        <v>1939</v>
      </c>
      <c r="D74" s="15">
        <v>67</v>
      </c>
      <c r="E74" s="15">
        <v>187183</v>
      </c>
      <c r="F74" s="15">
        <v>6.25</v>
      </c>
      <c r="G74" s="15">
        <v>41215</v>
      </c>
      <c r="H74" s="52">
        <f>(((Table5[[#This Row],[New_Followers]]-Table5[[#This Row],[Unfollows]])+Table5[[#This Row],[Total_Followers]])/Table5[[#This Row],[Total_Followers]])</f>
        <v>1.0100009082021337</v>
      </c>
      <c r="I74" s="15">
        <f>Table5[[#This Row],[New_Followers]]-Table5[[#This Row],[Unfollows]]</f>
        <v>1872</v>
      </c>
      <c r="J74" s="44"/>
    </row>
    <row r="75" spans="1:10" ht="14.25" customHeight="1" x14ac:dyDescent="0.3">
      <c r="A75" s="51">
        <v>45572</v>
      </c>
      <c r="B75" s="15" t="s">
        <v>1</v>
      </c>
      <c r="C75" s="15">
        <v>1929</v>
      </c>
      <c r="D75" s="15">
        <v>267</v>
      </c>
      <c r="E75" s="15">
        <v>379363</v>
      </c>
      <c r="F75" s="15">
        <v>1.75</v>
      </c>
      <c r="G75" s="15">
        <v>43836</v>
      </c>
      <c r="H75" s="52">
        <f>(((Table5[[#This Row],[New_Followers]]-Table5[[#This Row],[Unfollows]])+Table5[[#This Row],[Total_Followers]])/Table5[[#This Row],[Total_Followers]])</f>
        <v>1.0043810281972676</v>
      </c>
      <c r="I75" s="15">
        <f>Table5[[#This Row],[New_Followers]]-Table5[[#This Row],[Unfollows]]</f>
        <v>1662</v>
      </c>
      <c r="J75" s="44"/>
    </row>
    <row r="76" spans="1:10" ht="14.25" customHeight="1" x14ac:dyDescent="0.3">
      <c r="A76" s="51">
        <v>45572</v>
      </c>
      <c r="B76" s="15" t="s">
        <v>3</v>
      </c>
      <c r="C76" s="15">
        <v>437</v>
      </c>
      <c r="D76" s="15">
        <v>330</v>
      </c>
      <c r="E76" s="15">
        <v>476486</v>
      </c>
      <c r="F76" s="15">
        <v>4.97</v>
      </c>
      <c r="G76" s="15">
        <v>4509</v>
      </c>
      <c r="H76" s="52">
        <f>(((Table5[[#This Row],[New_Followers]]-Table5[[#This Row],[Unfollows]])+Table5[[#This Row],[Total_Followers]])/Table5[[#This Row],[Total_Followers]])</f>
        <v>1.0002245606376683</v>
      </c>
      <c r="I76" s="15">
        <f>Table5[[#This Row],[New_Followers]]-Table5[[#This Row],[Unfollows]]</f>
        <v>107</v>
      </c>
      <c r="J76" s="44"/>
    </row>
    <row r="77" spans="1:10" ht="14.25" customHeight="1" x14ac:dyDescent="0.3">
      <c r="A77" s="51">
        <v>45572</v>
      </c>
      <c r="B77" s="15" t="s">
        <v>4</v>
      </c>
      <c r="C77" s="15">
        <v>307</v>
      </c>
      <c r="D77" s="15">
        <v>189</v>
      </c>
      <c r="E77" s="15">
        <v>117767</v>
      </c>
      <c r="F77" s="15">
        <v>9.3000000000000007</v>
      </c>
      <c r="G77" s="15">
        <v>27822</v>
      </c>
      <c r="H77" s="52">
        <f>(((Table5[[#This Row],[New_Followers]]-Table5[[#This Row],[Unfollows]])+Table5[[#This Row],[Total_Followers]])/Table5[[#This Row],[Total_Followers]])</f>
        <v>1.0010019784829367</v>
      </c>
      <c r="I77" s="15">
        <f>Table5[[#This Row],[New_Followers]]-Table5[[#This Row],[Unfollows]]</f>
        <v>118</v>
      </c>
      <c r="J77" s="44"/>
    </row>
    <row r="78" spans="1:10" ht="14.25" customHeight="1" x14ac:dyDescent="0.3">
      <c r="A78" s="51">
        <v>45579</v>
      </c>
      <c r="B78" s="15" t="s">
        <v>2</v>
      </c>
      <c r="C78" s="15">
        <v>1527</v>
      </c>
      <c r="D78" s="15">
        <v>303</v>
      </c>
      <c r="E78" s="15">
        <v>388555</v>
      </c>
      <c r="F78" s="15">
        <v>8.9</v>
      </c>
      <c r="G78" s="15">
        <v>36397</v>
      </c>
      <c r="H78" s="52">
        <f>(((Table5[[#This Row],[New_Followers]]-Table5[[#This Row],[Unfollows]])+Table5[[#This Row],[Total_Followers]])/Table5[[#This Row],[Total_Followers]])</f>
        <v>1.0031501331857782</v>
      </c>
      <c r="I78" s="15">
        <f>Table5[[#This Row],[New_Followers]]-Table5[[#This Row],[Unfollows]]</f>
        <v>1224</v>
      </c>
      <c r="J78" s="44"/>
    </row>
    <row r="79" spans="1:10" ht="14.25" customHeight="1" x14ac:dyDescent="0.3">
      <c r="A79" s="51">
        <v>45579</v>
      </c>
      <c r="B79" s="15" t="s">
        <v>1</v>
      </c>
      <c r="C79" s="15">
        <v>643</v>
      </c>
      <c r="D79" s="15">
        <v>358</v>
      </c>
      <c r="E79" s="15">
        <v>157599</v>
      </c>
      <c r="F79" s="15">
        <v>3.88</v>
      </c>
      <c r="G79" s="15">
        <v>7285</v>
      </c>
      <c r="H79" s="52">
        <f>(((Table5[[#This Row],[New_Followers]]-Table5[[#This Row],[Unfollows]])+Table5[[#This Row],[Total_Followers]])/Table5[[#This Row],[Total_Followers]])</f>
        <v>1.0018083871090553</v>
      </c>
      <c r="I79" s="15">
        <f>Table5[[#This Row],[New_Followers]]-Table5[[#This Row],[Unfollows]]</f>
        <v>285</v>
      </c>
      <c r="J79" s="44"/>
    </row>
    <row r="80" spans="1:10" ht="14.25" customHeight="1" x14ac:dyDescent="0.3">
      <c r="A80" s="51">
        <v>45579</v>
      </c>
      <c r="B80" s="15" t="s">
        <v>3</v>
      </c>
      <c r="C80" s="15">
        <v>201</v>
      </c>
      <c r="D80" s="15">
        <v>221</v>
      </c>
      <c r="E80" s="15">
        <v>309772</v>
      </c>
      <c r="F80" s="15">
        <v>5.9</v>
      </c>
      <c r="G80" s="15">
        <v>33174</v>
      </c>
      <c r="H80" s="52">
        <f>(((Table5[[#This Row],[New_Followers]]-Table5[[#This Row],[Unfollows]])+Table5[[#This Row],[Total_Followers]])/Table5[[#This Row],[Total_Followers]])</f>
        <v>0.99993543638547056</v>
      </c>
      <c r="I80" s="15">
        <f>Table5[[#This Row],[New_Followers]]-Table5[[#This Row],[Unfollows]]</f>
        <v>-20</v>
      </c>
      <c r="J80" s="44"/>
    </row>
    <row r="81" spans="1:10" ht="14.25" customHeight="1" x14ac:dyDescent="0.3">
      <c r="A81" s="51">
        <v>45579</v>
      </c>
      <c r="B81" s="15" t="s">
        <v>4</v>
      </c>
      <c r="C81" s="15">
        <v>414</v>
      </c>
      <c r="D81" s="15">
        <v>47</v>
      </c>
      <c r="E81" s="15">
        <v>199178</v>
      </c>
      <c r="F81" s="15">
        <v>1.53</v>
      </c>
      <c r="G81" s="15">
        <v>6742</v>
      </c>
      <c r="H81" s="52">
        <f>(((Table5[[#This Row],[New_Followers]]-Table5[[#This Row],[Unfollows]])+Table5[[#This Row],[Total_Followers]])/Table5[[#This Row],[Total_Followers]])</f>
        <v>1.001842572974927</v>
      </c>
      <c r="I81" s="15">
        <f>Table5[[#This Row],[New_Followers]]-Table5[[#This Row],[Unfollows]]</f>
        <v>367</v>
      </c>
      <c r="J81" s="44"/>
    </row>
    <row r="82" spans="1:10" ht="14.25" customHeight="1" x14ac:dyDescent="0.3">
      <c r="A82" s="51">
        <v>45586</v>
      </c>
      <c r="B82" s="15" t="s">
        <v>2</v>
      </c>
      <c r="C82" s="15">
        <v>703</v>
      </c>
      <c r="D82" s="15">
        <v>441</v>
      </c>
      <c r="E82" s="15">
        <v>357089</v>
      </c>
      <c r="F82" s="15">
        <v>6.5</v>
      </c>
      <c r="G82" s="15">
        <v>32478</v>
      </c>
      <c r="H82" s="52">
        <f>(((Table5[[#This Row],[New_Followers]]-Table5[[#This Row],[Unfollows]])+Table5[[#This Row],[Total_Followers]])/Table5[[#This Row],[Total_Followers]])</f>
        <v>1.000733710643565</v>
      </c>
      <c r="I82" s="15">
        <f>Table5[[#This Row],[New_Followers]]-Table5[[#This Row],[Unfollows]]</f>
        <v>262</v>
      </c>
      <c r="J82" s="44"/>
    </row>
    <row r="83" spans="1:10" ht="14.25" customHeight="1" x14ac:dyDescent="0.3">
      <c r="A83" s="51">
        <v>45586</v>
      </c>
      <c r="B83" s="15" t="s">
        <v>1</v>
      </c>
      <c r="C83" s="15">
        <v>508</v>
      </c>
      <c r="D83" s="15">
        <v>69</v>
      </c>
      <c r="E83" s="15">
        <v>23492</v>
      </c>
      <c r="F83" s="15">
        <v>3.16</v>
      </c>
      <c r="G83" s="15">
        <v>42824</v>
      </c>
      <c r="H83" s="52">
        <f>(((Table5[[#This Row],[New_Followers]]-Table5[[#This Row],[Unfollows]])+Table5[[#This Row],[Total_Followers]])/Table5[[#This Row],[Total_Followers]])</f>
        <v>1.0186872126681423</v>
      </c>
      <c r="I83" s="15">
        <f>Table5[[#This Row],[New_Followers]]-Table5[[#This Row],[Unfollows]]</f>
        <v>439</v>
      </c>
      <c r="J83" s="44"/>
    </row>
    <row r="84" spans="1:10" ht="14.25" customHeight="1" x14ac:dyDescent="0.3">
      <c r="A84" s="51">
        <v>45586</v>
      </c>
      <c r="B84" s="15" t="s">
        <v>3</v>
      </c>
      <c r="C84" s="15">
        <v>697</v>
      </c>
      <c r="D84" s="15">
        <v>61</v>
      </c>
      <c r="E84" s="15">
        <v>258287</v>
      </c>
      <c r="F84" s="15">
        <v>8.25</v>
      </c>
      <c r="G84" s="15">
        <v>21208</v>
      </c>
      <c r="H84" s="52">
        <f>(((Table5[[#This Row],[New_Followers]]-Table5[[#This Row],[Unfollows]])+Table5[[#This Row],[Total_Followers]])/Table5[[#This Row],[Total_Followers]])</f>
        <v>1.0024623771231227</v>
      </c>
      <c r="I84" s="15">
        <f>Table5[[#This Row],[New_Followers]]-Table5[[#This Row],[Unfollows]]</f>
        <v>636</v>
      </c>
      <c r="J84" s="44"/>
    </row>
    <row r="85" spans="1:10" ht="14.25" customHeight="1" x14ac:dyDescent="0.3">
      <c r="A85" s="51">
        <v>45586</v>
      </c>
      <c r="B85" s="15" t="s">
        <v>4</v>
      </c>
      <c r="C85" s="15">
        <v>1707</v>
      </c>
      <c r="D85" s="15">
        <v>223</v>
      </c>
      <c r="E85" s="15">
        <v>256910</v>
      </c>
      <c r="F85" s="15">
        <v>5.41</v>
      </c>
      <c r="G85" s="15">
        <v>44321</v>
      </c>
      <c r="H85" s="52">
        <f>(((Table5[[#This Row],[New_Followers]]-Table5[[#This Row],[Unfollows]])+Table5[[#This Row],[Total_Followers]])/Table5[[#This Row],[Total_Followers]])</f>
        <v>1.0057763419096182</v>
      </c>
      <c r="I85" s="15">
        <f>Table5[[#This Row],[New_Followers]]-Table5[[#This Row],[Unfollows]]</f>
        <v>1484</v>
      </c>
      <c r="J85" s="44"/>
    </row>
    <row r="86" spans="1:10" ht="14.25" customHeight="1" x14ac:dyDescent="0.3">
      <c r="A86" s="51">
        <v>45593</v>
      </c>
      <c r="B86" s="15" t="s">
        <v>2</v>
      </c>
      <c r="C86" s="15">
        <v>642</v>
      </c>
      <c r="D86" s="15">
        <v>66</v>
      </c>
      <c r="E86" s="15">
        <v>346522</v>
      </c>
      <c r="F86" s="15">
        <v>5.85</v>
      </c>
      <c r="G86" s="15">
        <v>13116</v>
      </c>
      <c r="H86" s="52">
        <f>(((Table5[[#This Row],[New_Followers]]-Table5[[#This Row],[Unfollows]])+Table5[[#This Row],[Total_Followers]])/Table5[[#This Row],[Total_Followers]])</f>
        <v>1.00166223212379</v>
      </c>
      <c r="I86" s="15">
        <f>Table5[[#This Row],[New_Followers]]-Table5[[#This Row],[Unfollows]]</f>
        <v>576</v>
      </c>
      <c r="J86" s="44"/>
    </row>
    <row r="87" spans="1:10" ht="14.25" customHeight="1" x14ac:dyDescent="0.3">
      <c r="A87" s="51">
        <v>45593</v>
      </c>
      <c r="B87" s="15" t="s">
        <v>1</v>
      </c>
      <c r="C87" s="15">
        <v>859</v>
      </c>
      <c r="D87" s="15">
        <v>473</v>
      </c>
      <c r="E87" s="15">
        <v>209987</v>
      </c>
      <c r="F87" s="15">
        <v>4.46</v>
      </c>
      <c r="G87" s="15">
        <v>30214</v>
      </c>
      <c r="H87" s="52">
        <f>(((Table5[[#This Row],[New_Followers]]-Table5[[#This Row],[Unfollows]])+Table5[[#This Row],[Total_Followers]])/Table5[[#This Row],[Total_Followers]])</f>
        <v>1.0018382090319877</v>
      </c>
      <c r="I87" s="15">
        <f>Table5[[#This Row],[New_Followers]]-Table5[[#This Row],[Unfollows]]</f>
        <v>386</v>
      </c>
      <c r="J87" s="44"/>
    </row>
    <row r="88" spans="1:10" ht="14.25" customHeight="1" x14ac:dyDescent="0.3">
      <c r="A88" s="51">
        <v>45593</v>
      </c>
      <c r="B88" s="15" t="s">
        <v>3</v>
      </c>
      <c r="C88" s="15">
        <v>191</v>
      </c>
      <c r="D88" s="15">
        <v>154</v>
      </c>
      <c r="E88" s="15">
        <v>240550</v>
      </c>
      <c r="F88" s="15">
        <v>5.22</v>
      </c>
      <c r="G88" s="15">
        <v>15827</v>
      </c>
      <c r="H88" s="52">
        <f>(((Table5[[#This Row],[New_Followers]]-Table5[[#This Row],[Unfollows]])+Table5[[#This Row],[Total_Followers]])/Table5[[#This Row],[Total_Followers]])</f>
        <v>1.000153814175847</v>
      </c>
      <c r="I88" s="15">
        <f>Table5[[#This Row],[New_Followers]]-Table5[[#This Row],[Unfollows]]</f>
        <v>37</v>
      </c>
      <c r="J88" s="44"/>
    </row>
    <row r="89" spans="1:10" ht="14.25" customHeight="1" x14ac:dyDescent="0.3">
      <c r="A89" s="51">
        <v>45593</v>
      </c>
      <c r="B89" s="15" t="s">
        <v>4</v>
      </c>
      <c r="C89" s="15">
        <v>1814</v>
      </c>
      <c r="D89" s="15">
        <v>157</v>
      </c>
      <c r="E89" s="15">
        <v>305827</v>
      </c>
      <c r="F89" s="15">
        <v>1.99</v>
      </c>
      <c r="G89" s="15">
        <v>46643</v>
      </c>
      <c r="H89" s="52">
        <f>(((Table5[[#This Row],[New_Followers]]-Table5[[#This Row],[Unfollows]])+Table5[[#This Row],[Total_Followers]])/Table5[[#This Row],[Total_Followers]])</f>
        <v>1.0054180958515762</v>
      </c>
      <c r="I89" s="15">
        <f>Table5[[#This Row],[New_Followers]]-Table5[[#This Row],[Unfollows]]</f>
        <v>1657</v>
      </c>
      <c r="J89" s="44"/>
    </row>
    <row r="90" spans="1:10" ht="14.25" customHeight="1" x14ac:dyDescent="0.3">
      <c r="A90" s="51">
        <v>45600</v>
      </c>
      <c r="B90" s="15" t="s">
        <v>2</v>
      </c>
      <c r="C90" s="15">
        <v>1466</v>
      </c>
      <c r="D90" s="15">
        <v>69</v>
      </c>
      <c r="E90" s="15">
        <v>54935</v>
      </c>
      <c r="F90" s="15">
        <v>6.85</v>
      </c>
      <c r="G90" s="15">
        <v>36484</v>
      </c>
      <c r="H90" s="52">
        <f>(((Table5[[#This Row],[New_Followers]]-Table5[[#This Row],[Unfollows]])+Table5[[#This Row],[Total_Followers]])/Table5[[#This Row],[Total_Followers]])</f>
        <v>1.0254300536998271</v>
      </c>
      <c r="I90" s="15">
        <f>Table5[[#This Row],[New_Followers]]-Table5[[#This Row],[Unfollows]]</f>
        <v>1397</v>
      </c>
      <c r="J90" s="44"/>
    </row>
    <row r="91" spans="1:10" ht="14.25" customHeight="1" x14ac:dyDescent="0.3">
      <c r="A91" s="51">
        <v>45600</v>
      </c>
      <c r="B91" s="15" t="s">
        <v>1</v>
      </c>
      <c r="C91" s="15">
        <v>947</v>
      </c>
      <c r="D91" s="15">
        <v>407</v>
      </c>
      <c r="E91" s="15">
        <v>319186</v>
      </c>
      <c r="F91" s="15">
        <v>3.32</v>
      </c>
      <c r="G91" s="15">
        <v>4996</v>
      </c>
      <c r="H91" s="52">
        <f>(((Table5[[#This Row],[New_Followers]]-Table5[[#This Row],[Unfollows]])+Table5[[#This Row],[Total_Followers]])/Table5[[#This Row],[Total_Followers]])</f>
        <v>1.0016918035252174</v>
      </c>
      <c r="I91" s="15">
        <f>Table5[[#This Row],[New_Followers]]-Table5[[#This Row],[Unfollows]]</f>
        <v>540</v>
      </c>
      <c r="J91" s="44"/>
    </row>
    <row r="92" spans="1:10" ht="14.25" customHeight="1" x14ac:dyDescent="0.3">
      <c r="A92" s="51">
        <v>45600</v>
      </c>
      <c r="B92" s="15" t="s">
        <v>3</v>
      </c>
      <c r="C92" s="15">
        <v>1821</v>
      </c>
      <c r="D92" s="15">
        <v>218</v>
      </c>
      <c r="E92" s="15">
        <v>439080</v>
      </c>
      <c r="F92" s="15">
        <v>5.68</v>
      </c>
      <c r="G92" s="15">
        <v>36095</v>
      </c>
      <c r="H92" s="52">
        <f>(((Table5[[#This Row],[New_Followers]]-Table5[[#This Row],[Unfollows]])+Table5[[#This Row],[Total_Followers]])/Table5[[#This Row],[Total_Followers]])</f>
        <v>1.0036508153411678</v>
      </c>
      <c r="I92" s="15">
        <f>Table5[[#This Row],[New_Followers]]-Table5[[#This Row],[Unfollows]]</f>
        <v>1603</v>
      </c>
      <c r="J92" s="44"/>
    </row>
    <row r="93" spans="1:10" ht="14.25" customHeight="1" x14ac:dyDescent="0.3">
      <c r="A93" s="51">
        <v>45600</v>
      </c>
      <c r="B93" s="15" t="s">
        <v>4</v>
      </c>
      <c r="C93" s="15">
        <v>1507</v>
      </c>
      <c r="D93" s="15">
        <v>463</v>
      </c>
      <c r="E93" s="15">
        <v>258944</v>
      </c>
      <c r="F93" s="15">
        <v>6.08</v>
      </c>
      <c r="G93" s="15">
        <v>16443</v>
      </c>
      <c r="H93" s="52">
        <f>(((Table5[[#This Row],[New_Followers]]-Table5[[#This Row],[Unfollows]])+Table5[[#This Row],[Total_Followers]])/Table5[[#This Row],[Total_Followers]])</f>
        <v>1.0040317597627286</v>
      </c>
      <c r="I93" s="15">
        <f>Table5[[#This Row],[New_Followers]]-Table5[[#This Row],[Unfollows]]</f>
        <v>1044</v>
      </c>
      <c r="J93" s="44"/>
    </row>
    <row r="94" spans="1:10" ht="14.25" customHeight="1" x14ac:dyDescent="0.3">
      <c r="A94" s="51">
        <v>45607</v>
      </c>
      <c r="B94" s="15" t="s">
        <v>2</v>
      </c>
      <c r="C94" s="15">
        <v>1075</v>
      </c>
      <c r="D94" s="15">
        <v>173</v>
      </c>
      <c r="E94" s="15">
        <v>51395</v>
      </c>
      <c r="F94" s="15">
        <v>4.66</v>
      </c>
      <c r="G94" s="15">
        <v>47812</v>
      </c>
      <c r="H94" s="52">
        <f>(((Table5[[#This Row],[New_Followers]]-Table5[[#This Row],[Unfollows]])+Table5[[#This Row],[Total_Followers]])/Table5[[#This Row],[Total_Followers]])</f>
        <v>1.0175503453643351</v>
      </c>
      <c r="I94" s="15">
        <f>Table5[[#This Row],[New_Followers]]-Table5[[#This Row],[Unfollows]]</f>
        <v>902</v>
      </c>
      <c r="J94" s="44"/>
    </row>
    <row r="95" spans="1:10" ht="14.25" customHeight="1" x14ac:dyDescent="0.3">
      <c r="A95" s="51">
        <v>45607</v>
      </c>
      <c r="B95" s="15" t="s">
        <v>1</v>
      </c>
      <c r="C95" s="15">
        <v>171</v>
      </c>
      <c r="D95" s="15">
        <v>277</v>
      </c>
      <c r="E95" s="15">
        <v>309483</v>
      </c>
      <c r="F95" s="15">
        <v>8.6999999999999993</v>
      </c>
      <c r="G95" s="15">
        <v>38452</v>
      </c>
      <c r="H95" s="52">
        <f>(((Table5[[#This Row],[New_Followers]]-Table5[[#This Row],[Unfollows]])+Table5[[#This Row],[Total_Followers]])/Table5[[#This Row],[Total_Followers]])</f>
        <v>0.99965749330334785</v>
      </c>
      <c r="I95" s="15">
        <f>Table5[[#This Row],[New_Followers]]-Table5[[#This Row],[Unfollows]]</f>
        <v>-106</v>
      </c>
      <c r="J95" s="44"/>
    </row>
    <row r="96" spans="1:10" ht="14.25" customHeight="1" x14ac:dyDescent="0.3">
      <c r="A96" s="51">
        <v>45607</v>
      </c>
      <c r="B96" s="15" t="s">
        <v>3</v>
      </c>
      <c r="C96" s="15">
        <v>1487</v>
      </c>
      <c r="D96" s="15">
        <v>337</v>
      </c>
      <c r="E96" s="15">
        <v>87305</v>
      </c>
      <c r="F96" s="15">
        <v>2.46</v>
      </c>
      <c r="G96" s="15">
        <v>30428</v>
      </c>
      <c r="H96" s="52">
        <f>(((Table5[[#This Row],[New_Followers]]-Table5[[#This Row],[Unfollows]])+Table5[[#This Row],[Total_Followers]])/Table5[[#This Row],[Total_Followers]])</f>
        <v>1.0131722123589715</v>
      </c>
      <c r="I96" s="15">
        <f>Table5[[#This Row],[New_Followers]]-Table5[[#This Row],[Unfollows]]</f>
        <v>1150</v>
      </c>
      <c r="J96" s="44"/>
    </row>
    <row r="97" spans="1:10" ht="14.25" customHeight="1" x14ac:dyDescent="0.3">
      <c r="A97" s="51">
        <v>45607</v>
      </c>
      <c r="B97" s="15" t="s">
        <v>4</v>
      </c>
      <c r="C97" s="15">
        <v>454</v>
      </c>
      <c r="D97" s="15">
        <v>105</v>
      </c>
      <c r="E97" s="15">
        <v>121091</v>
      </c>
      <c r="F97" s="15">
        <v>7.97</v>
      </c>
      <c r="G97" s="15">
        <v>9269</v>
      </c>
      <c r="H97" s="52">
        <f>(((Table5[[#This Row],[New_Followers]]-Table5[[#This Row],[Unfollows]])+Table5[[#This Row],[Total_Followers]])/Table5[[#This Row],[Total_Followers]])</f>
        <v>1.002882129968371</v>
      </c>
      <c r="I97" s="15">
        <f>Table5[[#This Row],[New_Followers]]-Table5[[#This Row],[Unfollows]]</f>
        <v>349</v>
      </c>
      <c r="J97" s="44"/>
    </row>
    <row r="98" spans="1:10" ht="14.25" customHeight="1" x14ac:dyDescent="0.3">
      <c r="A98" s="51">
        <v>45614</v>
      </c>
      <c r="B98" s="15" t="s">
        <v>2</v>
      </c>
      <c r="C98" s="15">
        <v>187</v>
      </c>
      <c r="D98" s="15">
        <v>236</v>
      </c>
      <c r="E98" s="15">
        <v>51087</v>
      </c>
      <c r="F98" s="15">
        <v>9.41</v>
      </c>
      <c r="G98" s="15">
        <v>29533</v>
      </c>
      <c r="H98" s="52">
        <f>(((Table5[[#This Row],[New_Followers]]-Table5[[#This Row],[Unfollows]])+Table5[[#This Row],[Total_Followers]])/Table5[[#This Row],[Total_Followers]])</f>
        <v>0.99904085188012604</v>
      </c>
      <c r="I98" s="15">
        <f>Table5[[#This Row],[New_Followers]]-Table5[[#This Row],[Unfollows]]</f>
        <v>-49</v>
      </c>
      <c r="J98" s="44"/>
    </row>
    <row r="99" spans="1:10" ht="14.25" customHeight="1" x14ac:dyDescent="0.3">
      <c r="A99" s="51">
        <v>45614</v>
      </c>
      <c r="B99" s="15" t="s">
        <v>1</v>
      </c>
      <c r="C99" s="15">
        <v>513</v>
      </c>
      <c r="D99" s="15">
        <v>441</v>
      </c>
      <c r="E99" s="15">
        <v>338847</v>
      </c>
      <c r="F99" s="15">
        <v>2.68</v>
      </c>
      <c r="G99" s="15">
        <v>39997</v>
      </c>
      <c r="H99" s="52">
        <f>(((Table5[[#This Row],[New_Followers]]-Table5[[#This Row],[Unfollows]])+Table5[[#This Row],[Total_Followers]])/Table5[[#This Row],[Total_Followers]])</f>
        <v>1.0002124852809675</v>
      </c>
      <c r="I99" s="15">
        <f>Table5[[#This Row],[New_Followers]]-Table5[[#This Row],[Unfollows]]</f>
        <v>72</v>
      </c>
      <c r="J99" s="44"/>
    </row>
    <row r="100" spans="1:10" ht="14.25" customHeight="1" x14ac:dyDescent="0.3">
      <c r="A100" s="51">
        <v>45614</v>
      </c>
      <c r="B100" s="15" t="s">
        <v>3</v>
      </c>
      <c r="C100" s="15">
        <v>628</v>
      </c>
      <c r="D100" s="15">
        <v>183</v>
      </c>
      <c r="E100" s="15">
        <v>487523</v>
      </c>
      <c r="F100" s="15">
        <v>7.32</v>
      </c>
      <c r="G100" s="15">
        <v>5391</v>
      </c>
      <c r="H100" s="52">
        <f>(((Table5[[#This Row],[New_Followers]]-Table5[[#This Row],[Unfollows]])+Table5[[#This Row],[Total_Followers]])/Table5[[#This Row],[Total_Followers]])</f>
        <v>1.0009127774484485</v>
      </c>
      <c r="I100" s="15">
        <f>Table5[[#This Row],[New_Followers]]-Table5[[#This Row],[Unfollows]]</f>
        <v>445</v>
      </c>
      <c r="J100" s="44"/>
    </row>
    <row r="101" spans="1:10" ht="14.25" customHeight="1" x14ac:dyDescent="0.3">
      <c r="A101" s="51">
        <v>45614</v>
      </c>
      <c r="B101" s="15" t="s">
        <v>4</v>
      </c>
      <c r="C101" s="15">
        <v>278</v>
      </c>
      <c r="D101" s="15">
        <v>218</v>
      </c>
      <c r="E101" s="15">
        <v>301695</v>
      </c>
      <c r="F101" s="15">
        <v>4.68</v>
      </c>
      <c r="G101" s="15">
        <v>22373</v>
      </c>
      <c r="H101" s="52">
        <f>(((Table5[[#This Row],[New_Followers]]-Table5[[#This Row],[Unfollows]])+Table5[[#This Row],[Total_Followers]])/Table5[[#This Row],[Total_Followers]])</f>
        <v>1.0001988763486303</v>
      </c>
      <c r="I101" s="15">
        <f>Table5[[#This Row],[New_Followers]]-Table5[[#This Row],[Unfollows]]</f>
        <v>60</v>
      </c>
      <c r="J101" s="44"/>
    </row>
    <row r="102" spans="1:10" ht="14.25" customHeight="1" x14ac:dyDescent="0.3">
      <c r="A102" s="51">
        <v>45621</v>
      </c>
      <c r="B102" s="15" t="s">
        <v>2</v>
      </c>
      <c r="C102" s="15">
        <v>1854</v>
      </c>
      <c r="D102" s="15">
        <v>161</v>
      </c>
      <c r="E102" s="15">
        <v>282466</v>
      </c>
      <c r="F102" s="15">
        <v>5.17</v>
      </c>
      <c r="G102" s="15">
        <v>1810</v>
      </c>
      <c r="H102" s="52">
        <f>(((Table5[[#This Row],[New_Followers]]-Table5[[#This Row],[Unfollows]])+Table5[[#This Row],[Total_Followers]])/Table5[[#This Row],[Total_Followers]])</f>
        <v>1.0059936417126309</v>
      </c>
      <c r="I102" s="15">
        <f>Table5[[#This Row],[New_Followers]]-Table5[[#This Row],[Unfollows]]</f>
        <v>1693</v>
      </c>
      <c r="J102" s="44"/>
    </row>
    <row r="103" spans="1:10" ht="14.25" customHeight="1" x14ac:dyDescent="0.3">
      <c r="A103" s="51">
        <v>45621</v>
      </c>
      <c r="B103" s="15" t="s">
        <v>1</v>
      </c>
      <c r="C103" s="15">
        <v>1710</v>
      </c>
      <c r="D103" s="15">
        <v>378</v>
      </c>
      <c r="E103" s="15">
        <v>336661</v>
      </c>
      <c r="F103" s="15">
        <v>6.2</v>
      </c>
      <c r="G103" s="15">
        <v>28498</v>
      </c>
      <c r="H103" s="52">
        <f>(((Table5[[#This Row],[New_Followers]]-Table5[[#This Row],[Unfollows]])+Table5[[#This Row],[Total_Followers]])/Table5[[#This Row],[Total_Followers]])</f>
        <v>1.0039565022381565</v>
      </c>
      <c r="I103" s="15">
        <f>Table5[[#This Row],[New_Followers]]-Table5[[#This Row],[Unfollows]]</f>
        <v>1332</v>
      </c>
      <c r="J103" s="44"/>
    </row>
    <row r="104" spans="1:10" ht="14.25" customHeight="1" x14ac:dyDescent="0.3">
      <c r="A104" s="51">
        <v>45621</v>
      </c>
      <c r="B104" s="15" t="s">
        <v>3</v>
      </c>
      <c r="C104" s="15">
        <v>330</v>
      </c>
      <c r="D104" s="15">
        <v>232</v>
      </c>
      <c r="E104" s="15">
        <v>88455</v>
      </c>
      <c r="F104" s="15">
        <v>2.69</v>
      </c>
      <c r="G104" s="15">
        <v>39530</v>
      </c>
      <c r="H104" s="52">
        <f>(((Table5[[#This Row],[New_Followers]]-Table5[[#This Row],[Unfollows]])+Table5[[#This Row],[Total_Followers]])/Table5[[#This Row],[Total_Followers]])</f>
        <v>1.001107907975807</v>
      </c>
      <c r="I104" s="15">
        <f>Table5[[#This Row],[New_Followers]]-Table5[[#This Row],[Unfollows]]</f>
        <v>98</v>
      </c>
      <c r="J104" s="44"/>
    </row>
    <row r="105" spans="1:10" ht="14.25" customHeight="1" x14ac:dyDescent="0.3">
      <c r="A105" s="51">
        <v>45621</v>
      </c>
      <c r="B105" s="15" t="s">
        <v>4</v>
      </c>
      <c r="C105" s="15">
        <v>1293</v>
      </c>
      <c r="D105" s="15">
        <v>408</v>
      </c>
      <c r="E105" s="15">
        <v>62535</v>
      </c>
      <c r="F105" s="15">
        <v>8.9</v>
      </c>
      <c r="G105" s="15">
        <v>37876</v>
      </c>
      <c r="H105" s="52">
        <f>(((Table5[[#This Row],[New_Followers]]-Table5[[#This Row],[Unfollows]])+Table5[[#This Row],[Total_Followers]])/Table5[[#This Row],[Total_Followers]])</f>
        <v>1.0141520748380908</v>
      </c>
      <c r="I105" s="15">
        <f>Table5[[#This Row],[New_Followers]]-Table5[[#This Row],[Unfollows]]</f>
        <v>885</v>
      </c>
      <c r="J105" s="44"/>
    </row>
    <row r="106" spans="1:10" ht="14.25" customHeight="1" x14ac:dyDescent="0.3">
      <c r="A106" s="51">
        <v>45628</v>
      </c>
      <c r="B106" s="15" t="s">
        <v>2</v>
      </c>
      <c r="C106" s="15">
        <v>1696</v>
      </c>
      <c r="D106" s="15">
        <v>71</v>
      </c>
      <c r="E106" s="15">
        <v>421957</v>
      </c>
      <c r="F106" s="15">
        <v>3.79</v>
      </c>
      <c r="G106" s="15">
        <v>36103</v>
      </c>
      <c r="H106" s="52">
        <f>(((Table5[[#This Row],[New_Followers]]-Table5[[#This Row],[Unfollows]])+Table5[[#This Row],[Total_Followers]])/Table5[[#This Row],[Total_Followers]])</f>
        <v>1.0038511033114748</v>
      </c>
      <c r="I106" s="15">
        <f>Table5[[#This Row],[New_Followers]]-Table5[[#This Row],[Unfollows]]</f>
        <v>1625</v>
      </c>
      <c r="J106" s="44"/>
    </row>
    <row r="107" spans="1:10" ht="14.25" customHeight="1" x14ac:dyDescent="0.3">
      <c r="A107" s="51">
        <v>45628</v>
      </c>
      <c r="B107" s="15" t="s">
        <v>1</v>
      </c>
      <c r="C107" s="15">
        <v>1902</v>
      </c>
      <c r="D107" s="15">
        <v>196</v>
      </c>
      <c r="E107" s="15">
        <v>470269</v>
      </c>
      <c r="F107" s="15">
        <v>4.79</v>
      </c>
      <c r="G107" s="15">
        <v>26103</v>
      </c>
      <c r="H107" s="52">
        <f>(((Table5[[#This Row],[New_Followers]]-Table5[[#This Row],[Unfollows]])+Table5[[#This Row],[Total_Followers]])/Table5[[#This Row],[Total_Followers]])</f>
        <v>1.0036277109484146</v>
      </c>
      <c r="I107" s="15">
        <f>Table5[[#This Row],[New_Followers]]-Table5[[#This Row],[Unfollows]]</f>
        <v>1706</v>
      </c>
      <c r="J107" s="44"/>
    </row>
    <row r="108" spans="1:10" ht="14.25" customHeight="1" x14ac:dyDescent="0.3">
      <c r="A108" s="51">
        <v>45628</v>
      </c>
      <c r="B108" s="15" t="s">
        <v>3</v>
      </c>
      <c r="C108" s="15">
        <v>1441</v>
      </c>
      <c r="D108" s="15">
        <v>268</v>
      </c>
      <c r="E108" s="15">
        <v>309904</v>
      </c>
      <c r="F108" s="15">
        <v>6.37</v>
      </c>
      <c r="G108" s="15">
        <v>3455</v>
      </c>
      <c r="H108" s="52">
        <f>(((Table5[[#This Row],[New_Followers]]-Table5[[#This Row],[Unfollows]])+Table5[[#This Row],[Total_Followers]])/Table5[[#This Row],[Total_Followers]])</f>
        <v>1.0037850431101245</v>
      </c>
      <c r="I108" s="15">
        <f>Table5[[#This Row],[New_Followers]]-Table5[[#This Row],[Unfollows]]</f>
        <v>1173</v>
      </c>
      <c r="J108" s="44"/>
    </row>
    <row r="109" spans="1:10" ht="14.25" customHeight="1" x14ac:dyDescent="0.3">
      <c r="A109" s="51">
        <v>45628</v>
      </c>
      <c r="B109" s="15" t="s">
        <v>4</v>
      </c>
      <c r="C109" s="15">
        <v>452</v>
      </c>
      <c r="D109" s="15">
        <v>161</v>
      </c>
      <c r="E109" s="15">
        <v>221274</v>
      </c>
      <c r="F109" s="15">
        <v>2.65</v>
      </c>
      <c r="G109" s="15">
        <v>40888</v>
      </c>
      <c r="H109" s="52">
        <f>(((Table5[[#This Row],[New_Followers]]-Table5[[#This Row],[Unfollows]])+Table5[[#This Row],[Total_Followers]])/Table5[[#This Row],[Total_Followers]])</f>
        <v>1.0013151115811165</v>
      </c>
      <c r="I109" s="15">
        <f>Table5[[#This Row],[New_Followers]]-Table5[[#This Row],[Unfollows]]</f>
        <v>291</v>
      </c>
      <c r="J109" s="44"/>
    </row>
    <row r="110" spans="1:10" ht="14.25" customHeight="1" x14ac:dyDescent="0.3">
      <c r="A110" s="51">
        <v>45635</v>
      </c>
      <c r="B110" s="15" t="s">
        <v>2</v>
      </c>
      <c r="C110" s="15">
        <v>1494</v>
      </c>
      <c r="D110" s="15">
        <v>375</v>
      </c>
      <c r="E110" s="15">
        <v>220616</v>
      </c>
      <c r="F110" s="15">
        <v>1.81</v>
      </c>
      <c r="G110" s="15">
        <v>22724</v>
      </c>
      <c r="H110" s="52">
        <f>(((Table5[[#This Row],[New_Followers]]-Table5[[#This Row],[Unfollows]])+Table5[[#This Row],[Total_Followers]])/Table5[[#This Row],[Total_Followers]])</f>
        <v>1.0050721615839286</v>
      </c>
      <c r="I110" s="15">
        <f>Table5[[#This Row],[New_Followers]]-Table5[[#This Row],[Unfollows]]</f>
        <v>1119</v>
      </c>
      <c r="J110" s="44"/>
    </row>
    <row r="111" spans="1:10" ht="14.25" customHeight="1" x14ac:dyDescent="0.3">
      <c r="A111" s="51">
        <v>45635</v>
      </c>
      <c r="B111" s="15" t="s">
        <v>1</v>
      </c>
      <c r="C111" s="15">
        <v>1514</v>
      </c>
      <c r="D111" s="15">
        <v>141</v>
      </c>
      <c r="E111" s="15">
        <v>35842</v>
      </c>
      <c r="F111" s="15">
        <v>7.47</v>
      </c>
      <c r="G111" s="15">
        <v>18601</v>
      </c>
      <c r="H111" s="52">
        <f>(((Table5[[#This Row],[New_Followers]]-Table5[[#This Row],[Unfollows]])+Table5[[#This Row],[Total_Followers]])/Table5[[#This Row],[Total_Followers]])</f>
        <v>1.0383070141175157</v>
      </c>
      <c r="I111" s="15">
        <f>Table5[[#This Row],[New_Followers]]-Table5[[#This Row],[Unfollows]]</f>
        <v>1373</v>
      </c>
      <c r="J111" s="44"/>
    </row>
    <row r="112" spans="1:10" ht="14.25" customHeight="1" x14ac:dyDescent="0.3">
      <c r="A112" s="51">
        <v>45635</v>
      </c>
      <c r="B112" s="15" t="s">
        <v>3</v>
      </c>
      <c r="C112" s="15">
        <v>1937</v>
      </c>
      <c r="D112" s="15">
        <v>210</v>
      </c>
      <c r="E112" s="15">
        <v>20607</v>
      </c>
      <c r="F112" s="15">
        <v>4.2</v>
      </c>
      <c r="G112" s="15">
        <v>20861</v>
      </c>
      <c r="H112" s="52">
        <f>(((Table5[[#This Row],[New_Followers]]-Table5[[#This Row],[Unfollows]])+Table5[[#This Row],[Total_Followers]])/Table5[[#This Row],[Total_Followers]])</f>
        <v>1.0838064735284128</v>
      </c>
      <c r="I112" s="15">
        <f>Table5[[#This Row],[New_Followers]]-Table5[[#This Row],[Unfollows]]</f>
        <v>1727</v>
      </c>
      <c r="J112" s="44"/>
    </row>
    <row r="113" spans="1:10" ht="14.25" customHeight="1" x14ac:dyDescent="0.3">
      <c r="A113" s="51">
        <v>45635</v>
      </c>
      <c r="B113" s="15" t="s">
        <v>4</v>
      </c>
      <c r="C113" s="15">
        <v>736</v>
      </c>
      <c r="D113" s="15">
        <v>163</v>
      </c>
      <c r="E113" s="15">
        <v>451894</v>
      </c>
      <c r="F113" s="15">
        <v>5.43</v>
      </c>
      <c r="G113" s="15">
        <v>46625</v>
      </c>
      <c r="H113" s="52">
        <f>(((Table5[[#This Row],[New_Followers]]-Table5[[#This Row],[Unfollows]])+Table5[[#This Row],[Total_Followers]])/Table5[[#This Row],[Total_Followers]])</f>
        <v>1.0012679964770499</v>
      </c>
      <c r="I113" s="15">
        <f>Table5[[#This Row],[New_Followers]]-Table5[[#This Row],[Unfollows]]</f>
        <v>573</v>
      </c>
      <c r="J113" s="44"/>
    </row>
    <row r="114" spans="1:10" ht="14.25" customHeight="1" x14ac:dyDescent="0.3">
      <c r="A114" s="51">
        <v>45642</v>
      </c>
      <c r="B114" s="15" t="s">
        <v>2</v>
      </c>
      <c r="C114" s="15">
        <v>1502</v>
      </c>
      <c r="D114" s="15">
        <v>70</v>
      </c>
      <c r="E114" s="15">
        <v>465553</v>
      </c>
      <c r="F114" s="15">
        <v>3.32</v>
      </c>
      <c r="G114" s="15">
        <v>20692</v>
      </c>
      <c r="H114" s="52">
        <f>(((Table5[[#This Row],[New_Followers]]-Table5[[#This Row],[Unfollows]])+Table5[[#This Row],[Total_Followers]])/Table5[[#This Row],[Total_Followers]])</f>
        <v>1.0030759118725472</v>
      </c>
      <c r="I114" s="15">
        <f>Table5[[#This Row],[New_Followers]]-Table5[[#This Row],[Unfollows]]</f>
        <v>1432</v>
      </c>
      <c r="J114" s="44"/>
    </row>
    <row r="115" spans="1:10" ht="14.25" customHeight="1" x14ac:dyDescent="0.3">
      <c r="A115" s="51">
        <v>45642</v>
      </c>
      <c r="B115" s="15" t="s">
        <v>1</v>
      </c>
      <c r="C115" s="15">
        <v>1623</v>
      </c>
      <c r="D115" s="15">
        <v>246</v>
      </c>
      <c r="E115" s="15">
        <v>415815</v>
      </c>
      <c r="F115" s="15">
        <v>8.11</v>
      </c>
      <c r="G115" s="15">
        <v>18656</v>
      </c>
      <c r="H115" s="52">
        <f>(((Table5[[#This Row],[New_Followers]]-Table5[[#This Row],[Unfollows]])+Table5[[#This Row],[Total_Followers]])/Table5[[#This Row],[Total_Followers]])</f>
        <v>1.0033115688467227</v>
      </c>
      <c r="I115" s="15">
        <f>Table5[[#This Row],[New_Followers]]-Table5[[#This Row],[Unfollows]]</f>
        <v>1377</v>
      </c>
      <c r="J115" s="44"/>
    </row>
    <row r="116" spans="1:10" ht="14.25" customHeight="1" x14ac:dyDescent="0.3">
      <c r="A116" s="51">
        <v>45642</v>
      </c>
      <c r="B116" s="15" t="s">
        <v>3</v>
      </c>
      <c r="C116" s="15">
        <v>1592</v>
      </c>
      <c r="D116" s="15">
        <v>233</v>
      </c>
      <c r="E116" s="15">
        <v>327183</v>
      </c>
      <c r="F116" s="15">
        <v>6.66</v>
      </c>
      <c r="G116" s="15">
        <v>13316</v>
      </c>
      <c r="H116" s="52">
        <f>(((Table5[[#This Row],[New_Followers]]-Table5[[#This Row],[Unfollows]])+Table5[[#This Row],[Total_Followers]])/Table5[[#This Row],[Total_Followers]])</f>
        <v>1.0041536387893013</v>
      </c>
      <c r="I116" s="15">
        <f>Table5[[#This Row],[New_Followers]]-Table5[[#This Row],[Unfollows]]</f>
        <v>1359</v>
      </c>
      <c r="J116" s="44"/>
    </row>
    <row r="117" spans="1:10" ht="14.25" customHeight="1" x14ac:dyDescent="0.3">
      <c r="A117" s="51">
        <v>45642</v>
      </c>
      <c r="B117" s="15" t="s">
        <v>4</v>
      </c>
      <c r="C117" s="15">
        <v>1004</v>
      </c>
      <c r="D117" s="15">
        <v>128</v>
      </c>
      <c r="E117" s="15">
        <v>488901</v>
      </c>
      <c r="F117" s="15">
        <v>8.09</v>
      </c>
      <c r="G117" s="15">
        <v>49558</v>
      </c>
      <c r="H117" s="52">
        <f>(((Table5[[#This Row],[New_Followers]]-Table5[[#This Row],[Unfollows]])+Table5[[#This Row],[Total_Followers]])/Table5[[#This Row],[Total_Followers]])</f>
        <v>1.0017917737946946</v>
      </c>
      <c r="I117" s="15">
        <f>Table5[[#This Row],[New_Followers]]-Table5[[#This Row],[Unfollows]]</f>
        <v>876</v>
      </c>
      <c r="J117" s="44"/>
    </row>
    <row r="118" spans="1:10" ht="14.25" customHeight="1" x14ac:dyDescent="0.3">
      <c r="A118" s="51">
        <v>45649</v>
      </c>
      <c r="B118" s="15" t="s">
        <v>2</v>
      </c>
      <c r="C118" s="15">
        <v>1092</v>
      </c>
      <c r="D118" s="15">
        <v>408</v>
      </c>
      <c r="E118" s="15">
        <v>280795</v>
      </c>
      <c r="F118" s="15">
        <v>8.44</v>
      </c>
      <c r="G118" s="15">
        <v>4683</v>
      </c>
      <c r="H118" s="52">
        <f>(((Table5[[#This Row],[New_Followers]]-Table5[[#This Row],[Unfollows]])+Table5[[#This Row],[Total_Followers]])/Table5[[#This Row],[Total_Followers]])</f>
        <v>1.0024359408109118</v>
      </c>
      <c r="I118" s="15">
        <f>Table5[[#This Row],[New_Followers]]-Table5[[#This Row],[Unfollows]]</f>
        <v>684</v>
      </c>
      <c r="J118" s="44"/>
    </row>
    <row r="119" spans="1:10" ht="14.25" customHeight="1" x14ac:dyDescent="0.3">
      <c r="A119" s="51">
        <v>45649</v>
      </c>
      <c r="B119" s="15" t="s">
        <v>1</v>
      </c>
      <c r="C119" s="15">
        <v>1155</v>
      </c>
      <c r="D119" s="15">
        <v>425</v>
      </c>
      <c r="E119" s="15">
        <v>93347</v>
      </c>
      <c r="F119" s="15">
        <v>2.02</v>
      </c>
      <c r="G119" s="15">
        <v>47502</v>
      </c>
      <c r="H119" s="52">
        <f>(((Table5[[#This Row],[New_Followers]]-Table5[[#This Row],[Unfollows]])+Table5[[#This Row],[Total_Followers]])/Table5[[#This Row],[Total_Followers]])</f>
        <v>1.0078202834584935</v>
      </c>
      <c r="I119" s="15">
        <f>Table5[[#This Row],[New_Followers]]-Table5[[#This Row],[Unfollows]]</f>
        <v>730</v>
      </c>
      <c r="J119" s="44"/>
    </row>
    <row r="120" spans="1:10" ht="14.25" customHeight="1" x14ac:dyDescent="0.3">
      <c r="A120" s="51">
        <v>45649</v>
      </c>
      <c r="B120" s="15" t="s">
        <v>3</v>
      </c>
      <c r="C120" s="15">
        <v>1137</v>
      </c>
      <c r="D120" s="15">
        <v>226</v>
      </c>
      <c r="E120" s="15">
        <v>81119</v>
      </c>
      <c r="F120" s="15">
        <v>7.74</v>
      </c>
      <c r="G120" s="15">
        <v>35359</v>
      </c>
      <c r="H120" s="52">
        <f>(((Table5[[#This Row],[New_Followers]]-Table5[[#This Row],[Unfollows]])+Table5[[#This Row],[Total_Followers]])/Table5[[#This Row],[Total_Followers]])</f>
        <v>1.0112304145761166</v>
      </c>
      <c r="I120" s="15">
        <f>Table5[[#This Row],[New_Followers]]-Table5[[#This Row],[Unfollows]]</f>
        <v>911</v>
      </c>
      <c r="J120" s="44"/>
    </row>
    <row r="121" spans="1:10" ht="14.25" customHeight="1" x14ac:dyDescent="0.3">
      <c r="A121" s="51">
        <v>45649</v>
      </c>
      <c r="B121" s="15" t="s">
        <v>4</v>
      </c>
      <c r="C121" s="15">
        <v>1900</v>
      </c>
      <c r="D121" s="15">
        <v>311</v>
      </c>
      <c r="E121" s="15">
        <v>25177</v>
      </c>
      <c r="F121" s="15">
        <v>2.89</v>
      </c>
      <c r="G121" s="15">
        <v>14154</v>
      </c>
      <c r="H121" s="52">
        <f>(((Table5[[#This Row],[New_Followers]]-Table5[[#This Row],[Unfollows]])+Table5[[#This Row],[Total_Followers]])/Table5[[#This Row],[Total_Followers]])</f>
        <v>1.063113158835445</v>
      </c>
      <c r="I121" s="15">
        <f>Table5[[#This Row],[New_Followers]]-Table5[[#This Row],[Unfollows]]</f>
        <v>1589</v>
      </c>
      <c r="J121" s="44"/>
    </row>
    <row r="122" spans="1:10" ht="14.25" customHeight="1" x14ac:dyDescent="0.3">
      <c r="A122" s="51">
        <v>45656</v>
      </c>
      <c r="B122" s="15" t="s">
        <v>2</v>
      </c>
      <c r="C122" s="15">
        <v>1814</v>
      </c>
      <c r="D122" s="15">
        <v>49</v>
      </c>
      <c r="E122" s="15">
        <v>140804</v>
      </c>
      <c r="F122" s="15">
        <v>1.76</v>
      </c>
      <c r="G122" s="15">
        <v>4313</v>
      </c>
      <c r="H122" s="52">
        <f>(((Table5[[#This Row],[New_Followers]]-Table5[[#This Row],[Unfollows]])+Table5[[#This Row],[Total_Followers]])/Table5[[#This Row],[Total_Followers]])</f>
        <v>1.0125351552512714</v>
      </c>
      <c r="I122" s="15">
        <f>Table5[[#This Row],[New_Followers]]-Table5[[#This Row],[Unfollows]]</f>
        <v>1765</v>
      </c>
      <c r="J122" s="44"/>
    </row>
    <row r="123" spans="1:10" ht="14.25" customHeight="1" x14ac:dyDescent="0.3">
      <c r="A123" s="51">
        <v>45656</v>
      </c>
      <c r="B123" s="15" t="s">
        <v>1</v>
      </c>
      <c r="C123" s="15">
        <v>1980</v>
      </c>
      <c r="D123" s="15">
        <v>204</v>
      </c>
      <c r="E123" s="15">
        <v>379431</v>
      </c>
      <c r="F123" s="15">
        <v>3.09</v>
      </c>
      <c r="G123" s="15">
        <v>25140</v>
      </c>
      <c r="H123" s="52">
        <f>(((Table5[[#This Row],[New_Followers]]-Table5[[#This Row],[Unfollows]])+Table5[[#This Row],[Total_Followers]])/Table5[[#This Row],[Total_Followers]])</f>
        <v>1.0046806929323118</v>
      </c>
      <c r="I123" s="15">
        <f>Table5[[#This Row],[New_Followers]]-Table5[[#This Row],[Unfollows]]</f>
        <v>1776</v>
      </c>
      <c r="J123" s="44"/>
    </row>
    <row r="124" spans="1:10" ht="14.25" customHeight="1" x14ac:dyDescent="0.3">
      <c r="A124" s="51">
        <v>45656</v>
      </c>
      <c r="B124" s="15" t="s">
        <v>3</v>
      </c>
      <c r="C124" s="15">
        <v>1786</v>
      </c>
      <c r="D124" s="15">
        <v>257</v>
      </c>
      <c r="E124" s="15">
        <v>274831</v>
      </c>
      <c r="F124" s="15">
        <v>4.68</v>
      </c>
      <c r="G124" s="15">
        <v>9118</v>
      </c>
      <c r="H124" s="52">
        <f>(((Table5[[#This Row],[New_Followers]]-Table5[[#This Row],[Unfollows]])+Table5[[#This Row],[Total_Followers]])/Table5[[#This Row],[Total_Followers]])</f>
        <v>1.005563418973842</v>
      </c>
      <c r="I124" s="15">
        <f>Table5[[#This Row],[New_Followers]]-Table5[[#This Row],[Unfollows]]</f>
        <v>1529</v>
      </c>
      <c r="J124" s="44"/>
    </row>
    <row r="125" spans="1:10" ht="14.25" customHeight="1" x14ac:dyDescent="0.3">
      <c r="A125" s="51">
        <v>45656</v>
      </c>
      <c r="B125" s="15" t="s">
        <v>4</v>
      </c>
      <c r="C125" s="15">
        <v>1495</v>
      </c>
      <c r="D125" s="15">
        <v>35</v>
      </c>
      <c r="E125" s="15">
        <v>136845</v>
      </c>
      <c r="F125" s="15">
        <v>4.4800000000000004</v>
      </c>
      <c r="G125" s="15">
        <v>39931</v>
      </c>
      <c r="H125" s="52">
        <f>(((Table5[[#This Row],[New_Followers]]-Table5[[#This Row],[Unfollows]])+Table5[[#This Row],[Total_Followers]])/Table5[[#This Row],[Total_Followers]])</f>
        <v>1.0106690050787388</v>
      </c>
      <c r="I125" s="15">
        <f>Table5[[#This Row],[New_Followers]]-Table5[[#This Row],[Unfollows]]</f>
        <v>1460</v>
      </c>
      <c r="J125" s="44"/>
    </row>
    <row r="126" spans="1:10" ht="14.25" customHeight="1" x14ac:dyDescent="0.3">
      <c r="A126" s="51">
        <v>45663</v>
      </c>
      <c r="B126" s="15" t="s">
        <v>2</v>
      </c>
      <c r="C126" s="15">
        <v>1013</v>
      </c>
      <c r="D126" s="15">
        <v>110</v>
      </c>
      <c r="E126" s="15">
        <v>466382</v>
      </c>
      <c r="F126" s="15">
        <v>5.3</v>
      </c>
      <c r="G126" s="15">
        <v>37132</v>
      </c>
      <c r="H126" s="52">
        <f>(((Table5[[#This Row],[New_Followers]]-Table5[[#This Row],[Unfollows]])+Table5[[#This Row],[Total_Followers]])/Table5[[#This Row],[Total_Followers]])</f>
        <v>1.001936181070453</v>
      </c>
      <c r="I126" s="15">
        <f>Table5[[#This Row],[New_Followers]]-Table5[[#This Row],[Unfollows]]</f>
        <v>903</v>
      </c>
      <c r="J126" s="44"/>
    </row>
    <row r="127" spans="1:10" ht="14.25" customHeight="1" x14ac:dyDescent="0.3">
      <c r="A127" s="51">
        <v>45663</v>
      </c>
      <c r="B127" s="15" t="s">
        <v>1</v>
      </c>
      <c r="C127" s="15">
        <v>816</v>
      </c>
      <c r="D127" s="15">
        <v>196</v>
      </c>
      <c r="E127" s="15">
        <v>95728</v>
      </c>
      <c r="F127" s="15">
        <v>8.1999999999999993</v>
      </c>
      <c r="G127" s="15">
        <v>17951</v>
      </c>
      <c r="H127" s="52">
        <f>(((Table5[[#This Row],[New_Followers]]-Table5[[#This Row],[Unfollows]])+Table5[[#This Row],[Total_Followers]])/Table5[[#This Row],[Total_Followers]])</f>
        <v>1.0064766839378239</v>
      </c>
      <c r="I127" s="15">
        <f>Table5[[#This Row],[New_Followers]]-Table5[[#This Row],[Unfollows]]</f>
        <v>620</v>
      </c>
      <c r="J127" s="44"/>
    </row>
    <row r="128" spans="1:10" ht="14.25" customHeight="1" x14ac:dyDescent="0.3">
      <c r="A128" s="51">
        <v>45663</v>
      </c>
      <c r="B128" s="15" t="s">
        <v>3</v>
      </c>
      <c r="C128" s="15">
        <v>1633</v>
      </c>
      <c r="D128" s="15">
        <v>445</v>
      </c>
      <c r="E128" s="15">
        <v>371156</v>
      </c>
      <c r="F128" s="15">
        <v>2.2200000000000002</v>
      </c>
      <c r="G128" s="15">
        <v>2798</v>
      </c>
      <c r="H128" s="52">
        <f>(((Table5[[#This Row],[New_Followers]]-Table5[[#This Row],[Unfollows]])+Table5[[#This Row],[Total_Followers]])/Table5[[#This Row],[Total_Followers]])</f>
        <v>1.0032008104408927</v>
      </c>
      <c r="I128" s="15">
        <f>Table5[[#This Row],[New_Followers]]-Table5[[#This Row],[Unfollows]]</f>
        <v>1188</v>
      </c>
      <c r="J128" s="44"/>
    </row>
    <row r="129" spans="1:10" ht="14.25" customHeight="1" x14ac:dyDescent="0.3">
      <c r="A129" s="51">
        <v>45663</v>
      </c>
      <c r="B129" s="15" t="s">
        <v>4</v>
      </c>
      <c r="C129" s="15">
        <v>891</v>
      </c>
      <c r="D129" s="15">
        <v>45</v>
      </c>
      <c r="E129" s="15">
        <v>95410</v>
      </c>
      <c r="F129" s="15">
        <v>8.33</v>
      </c>
      <c r="G129" s="15">
        <v>15045</v>
      </c>
      <c r="H129" s="52">
        <f>(((Table5[[#This Row],[New_Followers]]-Table5[[#This Row],[Unfollows]])+Table5[[#This Row],[Total_Followers]])/Table5[[#This Row],[Total_Followers]])</f>
        <v>1.0088669950738915</v>
      </c>
      <c r="I129" s="15">
        <f>Table5[[#This Row],[New_Followers]]-Table5[[#This Row],[Unfollows]]</f>
        <v>846</v>
      </c>
      <c r="J129" s="44"/>
    </row>
    <row r="130" spans="1:10" ht="14.25" customHeight="1" x14ac:dyDescent="0.3">
      <c r="A130" s="51">
        <v>45670</v>
      </c>
      <c r="B130" s="15" t="s">
        <v>2</v>
      </c>
      <c r="C130" s="15">
        <v>1855</v>
      </c>
      <c r="D130" s="15">
        <v>133</v>
      </c>
      <c r="E130" s="15">
        <v>349413</v>
      </c>
      <c r="F130" s="15">
        <v>3.3</v>
      </c>
      <c r="G130" s="15">
        <v>14548</v>
      </c>
      <c r="H130" s="52">
        <f>(((Table5[[#This Row],[New_Followers]]-Table5[[#This Row],[Unfollows]])+Table5[[#This Row],[Total_Followers]])/Table5[[#This Row],[Total_Followers]])</f>
        <v>1.0049282654051224</v>
      </c>
      <c r="I130" s="15">
        <f>Table5[[#This Row],[New_Followers]]-Table5[[#This Row],[Unfollows]]</f>
        <v>1722</v>
      </c>
      <c r="J130" s="44"/>
    </row>
    <row r="131" spans="1:10" ht="14.25" customHeight="1" x14ac:dyDescent="0.3">
      <c r="A131" s="51">
        <v>45670</v>
      </c>
      <c r="B131" s="15" t="s">
        <v>1</v>
      </c>
      <c r="C131" s="15">
        <v>651</v>
      </c>
      <c r="D131" s="15">
        <v>353</v>
      </c>
      <c r="E131" s="15">
        <v>224699</v>
      </c>
      <c r="F131" s="15">
        <v>5.61</v>
      </c>
      <c r="G131" s="15">
        <v>45708</v>
      </c>
      <c r="H131" s="52">
        <f>(((Table5[[#This Row],[New_Followers]]-Table5[[#This Row],[Unfollows]])+Table5[[#This Row],[Total_Followers]])/Table5[[#This Row],[Total_Followers]])</f>
        <v>1.0013262186302565</v>
      </c>
      <c r="I131" s="15">
        <f>Table5[[#This Row],[New_Followers]]-Table5[[#This Row],[Unfollows]]</f>
        <v>298</v>
      </c>
      <c r="J131" s="44"/>
    </row>
    <row r="132" spans="1:10" ht="14.25" customHeight="1" x14ac:dyDescent="0.3">
      <c r="A132" s="51">
        <v>45670</v>
      </c>
      <c r="B132" s="15" t="s">
        <v>3</v>
      </c>
      <c r="C132" s="15">
        <v>118</v>
      </c>
      <c r="D132" s="15">
        <v>262</v>
      </c>
      <c r="E132" s="15">
        <v>487896</v>
      </c>
      <c r="F132" s="15">
        <v>2.56</v>
      </c>
      <c r="G132" s="15">
        <v>12350</v>
      </c>
      <c r="H132" s="52">
        <f>(((Table5[[#This Row],[New_Followers]]-Table5[[#This Row],[Unfollows]])+Table5[[#This Row],[Total_Followers]])/Table5[[#This Row],[Total_Followers]])</f>
        <v>0.99970485513306118</v>
      </c>
      <c r="I132" s="15">
        <f>Table5[[#This Row],[New_Followers]]-Table5[[#This Row],[Unfollows]]</f>
        <v>-144</v>
      </c>
      <c r="J132" s="44"/>
    </row>
    <row r="133" spans="1:10" ht="14.25" customHeight="1" x14ac:dyDescent="0.3">
      <c r="A133" s="51">
        <v>45670</v>
      </c>
      <c r="B133" s="15" t="s">
        <v>4</v>
      </c>
      <c r="C133" s="15">
        <v>1331</v>
      </c>
      <c r="D133" s="15">
        <v>430</v>
      </c>
      <c r="E133" s="15">
        <v>14437</v>
      </c>
      <c r="F133" s="15">
        <v>3.29</v>
      </c>
      <c r="G133" s="15">
        <v>40868</v>
      </c>
      <c r="H133" s="52">
        <f>(((Table5[[#This Row],[New_Followers]]-Table5[[#This Row],[Unfollows]])+Table5[[#This Row],[Total_Followers]])/Table5[[#This Row],[Total_Followers]])</f>
        <v>1.0624090877606152</v>
      </c>
      <c r="I133" s="15">
        <f>Table5[[#This Row],[New_Followers]]-Table5[[#This Row],[Unfollows]]</f>
        <v>901</v>
      </c>
      <c r="J133" s="44"/>
    </row>
    <row r="134" spans="1:10" ht="14.25" customHeight="1" x14ac:dyDescent="0.3">
      <c r="A134" s="51">
        <v>45677</v>
      </c>
      <c r="B134" s="15" t="s">
        <v>2</v>
      </c>
      <c r="C134" s="15">
        <v>1748</v>
      </c>
      <c r="D134" s="15">
        <v>176</v>
      </c>
      <c r="E134" s="15">
        <v>383681</v>
      </c>
      <c r="F134" s="15">
        <v>9.24</v>
      </c>
      <c r="G134" s="15">
        <v>43122</v>
      </c>
      <c r="H134" s="52">
        <f>(((Table5[[#This Row],[New_Followers]]-Table5[[#This Row],[Unfollows]])+Table5[[#This Row],[Total_Followers]])/Table5[[#This Row],[Total_Followers]])</f>
        <v>1.0040971536250167</v>
      </c>
      <c r="I134" s="15">
        <f>Table5[[#This Row],[New_Followers]]-Table5[[#This Row],[Unfollows]]</f>
        <v>1572</v>
      </c>
      <c r="J134" s="44"/>
    </row>
    <row r="135" spans="1:10" ht="14.25" customHeight="1" x14ac:dyDescent="0.3">
      <c r="A135" s="51">
        <v>45677</v>
      </c>
      <c r="B135" s="15" t="s">
        <v>1</v>
      </c>
      <c r="C135" s="15">
        <v>663</v>
      </c>
      <c r="D135" s="15">
        <v>236</v>
      </c>
      <c r="E135" s="15">
        <v>479490</v>
      </c>
      <c r="F135" s="15">
        <v>4.51</v>
      </c>
      <c r="G135" s="15">
        <v>23853</v>
      </c>
      <c r="H135" s="52">
        <f>(((Table5[[#This Row],[New_Followers]]-Table5[[#This Row],[Unfollows]])+Table5[[#This Row],[Total_Followers]])/Table5[[#This Row],[Total_Followers]])</f>
        <v>1.0008905295209494</v>
      </c>
      <c r="I135" s="15">
        <f>Table5[[#This Row],[New_Followers]]-Table5[[#This Row],[Unfollows]]</f>
        <v>427</v>
      </c>
      <c r="J135" s="44"/>
    </row>
    <row r="136" spans="1:10" ht="14.25" customHeight="1" x14ac:dyDescent="0.3">
      <c r="A136" s="51">
        <v>45677</v>
      </c>
      <c r="B136" s="15" t="s">
        <v>3</v>
      </c>
      <c r="C136" s="15">
        <v>1040</v>
      </c>
      <c r="D136" s="15">
        <v>149</v>
      </c>
      <c r="E136" s="15">
        <v>124404</v>
      </c>
      <c r="F136" s="15">
        <v>5.23</v>
      </c>
      <c r="G136" s="15">
        <v>45380</v>
      </c>
      <c r="H136" s="52">
        <f>(((Table5[[#This Row],[New_Followers]]-Table5[[#This Row],[Unfollows]])+Table5[[#This Row],[Total_Followers]])/Table5[[#This Row],[Total_Followers]])</f>
        <v>1.0071621491270377</v>
      </c>
      <c r="I136" s="15">
        <f>Table5[[#This Row],[New_Followers]]-Table5[[#This Row],[Unfollows]]</f>
        <v>891</v>
      </c>
      <c r="J136" s="44"/>
    </row>
    <row r="137" spans="1:10" ht="14.25" customHeight="1" x14ac:dyDescent="0.3">
      <c r="A137" s="51">
        <v>45677</v>
      </c>
      <c r="B137" s="15" t="s">
        <v>4</v>
      </c>
      <c r="C137" s="15">
        <v>1166</v>
      </c>
      <c r="D137" s="15">
        <v>442</v>
      </c>
      <c r="E137" s="15">
        <v>336949</v>
      </c>
      <c r="F137" s="15">
        <v>4.68</v>
      </c>
      <c r="G137" s="15">
        <v>7705</v>
      </c>
      <c r="H137" s="52">
        <f>(((Table5[[#This Row],[New_Followers]]-Table5[[#This Row],[Unfollows]])+Table5[[#This Row],[Total_Followers]])/Table5[[#This Row],[Total_Followers]])</f>
        <v>1.002148693125666</v>
      </c>
      <c r="I137" s="15">
        <f>Table5[[#This Row],[New_Followers]]-Table5[[#This Row],[Unfollows]]</f>
        <v>724</v>
      </c>
      <c r="J137" s="44"/>
    </row>
    <row r="138" spans="1:10" ht="14.25" customHeight="1" x14ac:dyDescent="0.3">
      <c r="A138" s="51">
        <v>45684</v>
      </c>
      <c r="B138" s="15" t="s">
        <v>2</v>
      </c>
      <c r="C138" s="15">
        <v>115</v>
      </c>
      <c r="D138" s="15">
        <v>281</v>
      </c>
      <c r="E138" s="15">
        <v>357265</v>
      </c>
      <c r="F138" s="15">
        <v>9.23</v>
      </c>
      <c r="G138" s="15">
        <v>25525</v>
      </c>
      <c r="H138" s="52">
        <f>(((Table5[[#This Row],[New_Followers]]-Table5[[#This Row],[Unfollows]])+Table5[[#This Row],[Total_Followers]])/Table5[[#This Row],[Total_Followers]])</f>
        <v>0.99953535890725376</v>
      </c>
      <c r="I138" s="15">
        <f>Table5[[#This Row],[New_Followers]]-Table5[[#This Row],[Unfollows]]</f>
        <v>-166</v>
      </c>
      <c r="J138" s="44"/>
    </row>
    <row r="139" spans="1:10" ht="14.25" customHeight="1" x14ac:dyDescent="0.3">
      <c r="A139" s="51">
        <v>45684</v>
      </c>
      <c r="B139" s="15" t="s">
        <v>1</v>
      </c>
      <c r="C139" s="15">
        <v>1249</v>
      </c>
      <c r="D139" s="15">
        <v>351</v>
      </c>
      <c r="E139" s="15">
        <v>321307</v>
      </c>
      <c r="F139" s="15">
        <v>6.37</v>
      </c>
      <c r="G139" s="15">
        <v>20560</v>
      </c>
      <c r="H139" s="52">
        <f>(((Table5[[#This Row],[New_Followers]]-Table5[[#This Row],[Unfollows]])+Table5[[#This Row],[Total_Followers]])/Table5[[#This Row],[Total_Followers]])</f>
        <v>1.0027948348464242</v>
      </c>
      <c r="I139" s="15">
        <f>Table5[[#This Row],[New_Followers]]-Table5[[#This Row],[Unfollows]]</f>
        <v>898</v>
      </c>
      <c r="J139" s="44"/>
    </row>
    <row r="140" spans="1:10" ht="14.25" customHeight="1" x14ac:dyDescent="0.3">
      <c r="A140" s="51">
        <v>45684</v>
      </c>
      <c r="B140" s="15" t="s">
        <v>3</v>
      </c>
      <c r="C140" s="15">
        <v>1501</v>
      </c>
      <c r="D140" s="15">
        <v>75</v>
      </c>
      <c r="E140" s="15">
        <v>262569</v>
      </c>
      <c r="F140" s="15">
        <v>2.0099999999999998</v>
      </c>
      <c r="G140" s="15">
        <v>19119</v>
      </c>
      <c r="H140" s="52">
        <f>(((Table5[[#This Row],[New_Followers]]-Table5[[#This Row],[Unfollows]])+Table5[[#This Row],[Total_Followers]])/Table5[[#This Row],[Total_Followers]])</f>
        <v>1.0054309533874906</v>
      </c>
      <c r="I140" s="15">
        <f>Table5[[#This Row],[New_Followers]]-Table5[[#This Row],[Unfollows]]</f>
        <v>1426</v>
      </c>
      <c r="J140" s="44"/>
    </row>
    <row r="141" spans="1:10" ht="14.25" customHeight="1" x14ac:dyDescent="0.3">
      <c r="A141" s="51">
        <v>45684</v>
      </c>
      <c r="B141" s="15" t="s">
        <v>4</v>
      </c>
      <c r="C141" s="15">
        <v>1411</v>
      </c>
      <c r="D141" s="15">
        <v>186</v>
      </c>
      <c r="E141" s="15">
        <v>461669</v>
      </c>
      <c r="F141" s="15">
        <v>3.72</v>
      </c>
      <c r="G141" s="15">
        <v>43999</v>
      </c>
      <c r="H141" s="52">
        <f>(((Table5[[#This Row],[New_Followers]]-Table5[[#This Row],[Unfollows]])+Table5[[#This Row],[Total_Followers]])/Table5[[#This Row],[Total_Followers]])</f>
        <v>1.0026534161921203</v>
      </c>
      <c r="I141" s="15">
        <f>Table5[[#This Row],[New_Followers]]-Table5[[#This Row],[Unfollows]]</f>
        <v>1225</v>
      </c>
      <c r="J141" s="44"/>
    </row>
    <row r="142" spans="1:10" ht="14.25" customHeight="1" x14ac:dyDescent="0.3">
      <c r="A142" s="51">
        <v>45691</v>
      </c>
      <c r="B142" s="15" t="s">
        <v>2</v>
      </c>
      <c r="C142" s="15">
        <v>1556</v>
      </c>
      <c r="D142" s="15">
        <v>476</v>
      </c>
      <c r="E142" s="15">
        <v>351556</v>
      </c>
      <c r="F142" s="15">
        <v>3.89</v>
      </c>
      <c r="G142" s="15">
        <v>10825</v>
      </c>
      <c r="H142" s="52">
        <f>(((Table5[[#This Row],[New_Followers]]-Table5[[#This Row],[Unfollows]])+Table5[[#This Row],[Total_Followers]])/Table5[[#This Row],[Total_Followers]])</f>
        <v>1.0030720567989169</v>
      </c>
      <c r="I142" s="15">
        <f>Table5[[#This Row],[New_Followers]]-Table5[[#This Row],[Unfollows]]</f>
        <v>1080</v>
      </c>
      <c r="J142" s="44"/>
    </row>
    <row r="143" spans="1:10" ht="14.25" customHeight="1" x14ac:dyDescent="0.3">
      <c r="A143" s="51">
        <v>45691</v>
      </c>
      <c r="B143" s="15" t="s">
        <v>1</v>
      </c>
      <c r="C143" s="15">
        <v>1159</v>
      </c>
      <c r="D143" s="15">
        <v>411</v>
      </c>
      <c r="E143" s="15">
        <v>135987</v>
      </c>
      <c r="F143" s="15">
        <v>8.6999999999999993</v>
      </c>
      <c r="G143" s="15">
        <v>40323</v>
      </c>
      <c r="H143" s="52">
        <f>(((Table5[[#This Row],[New_Followers]]-Table5[[#This Row],[Unfollows]])+Table5[[#This Row],[Total_Followers]])/Table5[[#This Row],[Total_Followers]])</f>
        <v>1.0055005257855529</v>
      </c>
      <c r="I143" s="15">
        <f>Table5[[#This Row],[New_Followers]]-Table5[[#This Row],[Unfollows]]</f>
        <v>748</v>
      </c>
      <c r="J143" s="44"/>
    </row>
    <row r="144" spans="1:10" ht="14.25" customHeight="1" x14ac:dyDescent="0.3">
      <c r="A144" s="51">
        <v>45691</v>
      </c>
      <c r="B144" s="15" t="s">
        <v>3</v>
      </c>
      <c r="C144" s="15">
        <v>927</v>
      </c>
      <c r="D144" s="15">
        <v>358</v>
      </c>
      <c r="E144" s="15">
        <v>177554</v>
      </c>
      <c r="F144" s="15">
        <v>6.95</v>
      </c>
      <c r="G144" s="15">
        <v>48270</v>
      </c>
      <c r="H144" s="52">
        <f>(((Table5[[#This Row],[New_Followers]]-Table5[[#This Row],[Unfollows]])+Table5[[#This Row],[Total_Followers]])/Table5[[#This Row],[Total_Followers]])</f>
        <v>1.0032046588643455</v>
      </c>
      <c r="I144" s="15">
        <f>Table5[[#This Row],[New_Followers]]-Table5[[#This Row],[Unfollows]]</f>
        <v>569</v>
      </c>
      <c r="J144" s="44"/>
    </row>
    <row r="145" spans="1:10" ht="14.25" customHeight="1" x14ac:dyDescent="0.3">
      <c r="A145" s="51">
        <v>45691</v>
      </c>
      <c r="B145" s="15" t="s">
        <v>4</v>
      </c>
      <c r="C145" s="15">
        <v>152</v>
      </c>
      <c r="D145" s="15">
        <v>355</v>
      </c>
      <c r="E145" s="15">
        <v>270766</v>
      </c>
      <c r="F145" s="15">
        <v>9.48</v>
      </c>
      <c r="G145" s="15">
        <v>18001</v>
      </c>
      <c r="H145" s="52">
        <f>(((Table5[[#This Row],[New_Followers]]-Table5[[#This Row],[Unfollows]])+Table5[[#This Row],[Total_Followers]])/Table5[[#This Row],[Total_Followers]])</f>
        <v>0.99925027514532849</v>
      </c>
      <c r="I145" s="15">
        <f>Table5[[#This Row],[New_Followers]]-Table5[[#This Row],[Unfollows]]</f>
        <v>-203</v>
      </c>
      <c r="J145" s="44"/>
    </row>
    <row r="146" spans="1:10" ht="14.25" customHeight="1" x14ac:dyDescent="0.3">
      <c r="A146" s="51">
        <v>45698</v>
      </c>
      <c r="B146" s="15" t="s">
        <v>2</v>
      </c>
      <c r="C146" s="15">
        <v>1957</v>
      </c>
      <c r="D146" s="15">
        <v>234</v>
      </c>
      <c r="E146" s="15">
        <v>222126</v>
      </c>
      <c r="F146" s="15">
        <v>4.6100000000000003</v>
      </c>
      <c r="G146" s="15">
        <v>3314</v>
      </c>
      <c r="H146" s="52">
        <f>(((Table5[[#This Row],[New_Followers]]-Table5[[#This Row],[Unfollows]])+Table5[[#This Row],[Total_Followers]])/Table5[[#This Row],[Total_Followers]])</f>
        <v>1.0077568587198258</v>
      </c>
      <c r="I146" s="15">
        <f>Table5[[#This Row],[New_Followers]]-Table5[[#This Row],[Unfollows]]</f>
        <v>1723</v>
      </c>
      <c r="J146" s="44"/>
    </row>
    <row r="147" spans="1:10" ht="14.25" customHeight="1" x14ac:dyDescent="0.3">
      <c r="A147" s="51">
        <v>45698</v>
      </c>
      <c r="B147" s="15" t="s">
        <v>1</v>
      </c>
      <c r="C147" s="15">
        <v>1294</v>
      </c>
      <c r="D147" s="15">
        <v>382</v>
      </c>
      <c r="E147" s="15">
        <v>309914</v>
      </c>
      <c r="F147" s="15">
        <v>8.0299999999999994</v>
      </c>
      <c r="G147" s="15">
        <v>23489</v>
      </c>
      <c r="H147" s="52">
        <f>(((Table5[[#This Row],[New_Followers]]-Table5[[#This Row],[Unfollows]])+Table5[[#This Row],[Total_Followers]])/Table5[[#This Row],[Total_Followers]])</f>
        <v>1.0029427518601934</v>
      </c>
      <c r="I147" s="15">
        <f>Table5[[#This Row],[New_Followers]]-Table5[[#This Row],[Unfollows]]</f>
        <v>912</v>
      </c>
      <c r="J147" s="44"/>
    </row>
    <row r="148" spans="1:10" ht="14.25" customHeight="1" x14ac:dyDescent="0.3">
      <c r="A148" s="51">
        <v>45698</v>
      </c>
      <c r="B148" s="15" t="s">
        <v>3</v>
      </c>
      <c r="C148" s="15">
        <v>1587</v>
      </c>
      <c r="D148" s="15">
        <v>385</v>
      </c>
      <c r="E148" s="15">
        <v>126582</v>
      </c>
      <c r="F148" s="15">
        <v>6.99</v>
      </c>
      <c r="G148" s="15">
        <v>42832</v>
      </c>
      <c r="H148" s="52">
        <f>(((Table5[[#This Row],[New_Followers]]-Table5[[#This Row],[Unfollows]])+Table5[[#This Row],[Total_Followers]])/Table5[[#This Row],[Total_Followers]])</f>
        <v>1.009495820890806</v>
      </c>
      <c r="I148" s="15">
        <f>Table5[[#This Row],[New_Followers]]-Table5[[#This Row],[Unfollows]]</f>
        <v>1202</v>
      </c>
      <c r="J148" s="44"/>
    </row>
    <row r="149" spans="1:10" ht="14.25" customHeight="1" x14ac:dyDescent="0.3">
      <c r="A149" s="51">
        <v>45698</v>
      </c>
      <c r="B149" s="15" t="s">
        <v>4</v>
      </c>
      <c r="C149" s="15">
        <v>1707</v>
      </c>
      <c r="D149" s="15">
        <v>263</v>
      </c>
      <c r="E149" s="15">
        <v>485280</v>
      </c>
      <c r="F149" s="15">
        <v>9.0299999999999994</v>
      </c>
      <c r="G149" s="15">
        <v>24494</v>
      </c>
      <c r="H149" s="52">
        <f>(((Table5[[#This Row],[New_Followers]]-Table5[[#This Row],[Unfollows]])+Table5[[#This Row],[Total_Followers]])/Table5[[#This Row],[Total_Followers]])</f>
        <v>1.0029756017144742</v>
      </c>
      <c r="I149" s="15">
        <f>Table5[[#This Row],[New_Followers]]-Table5[[#This Row],[Unfollows]]</f>
        <v>1444</v>
      </c>
      <c r="J149" s="44"/>
    </row>
    <row r="150" spans="1:10" ht="14.25" customHeight="1" x14ac:dyDescent="0.3">
      <c r="A150" s="51">
        <v>45705</v>
      </c>
      <c r="B150" s="15" t="s">
        <v>2</v>
      </c>
      <c r="C150" s="15">
        <v>1138</v>
      </c>
      <c r="D150" s="15">
        <v>173</v>
      </c>
      <c r="E150" s="15">
        <v>453243</v>
      </c>
      <c r="F150" s="15">
        <v>2.86</v>
      </c>
      <c r="G150" s="15">
        <v>44097</v>
      </c>
      <c r="H150" s="52">
        <f>(((Table5[[#This Row],[New_Followers]]-Table5[[#This Row],[Unfollows]])+Table5[[#This Row],[Total_Followers]])/Table5[[#This Row],[Total_Followers]])</f>
        <v>1.002129100725218</v>
      </c>
      <c r="I150" s="15">
        <f>Table5[[#This Row],[New_Followers]]-Table5[[#This Row],[Unfollows]]</f>
        <v>965</v>
      </c>
      <c r="J150" s="44"/>
    </row>
    <row r="151" spans="1:10" ht="14.25" customHeight="1" x14ac:dyDescent="0.3">
      <c r="A151" s="51">
        <v>45705</v>
      </c>
      <c r="B151" s="15" t="s">
        <v>1</v>
      </c>
      <c r="C151" s="15">
        <v>1895</v>
      </c>
      <c r="D151" s="15">
        <v>305</v>
      </c>
      <c r="E151" s="15">
        <v>104967</v>
      </c>
      <c r="F151" s="15">
        <v>3.85</v>
      </c>
      <c r="G151" s="15">
        <v>31853</v>
      </c>
      <c r="H151" s="52">
        <f>(((Table5[[#This Row],[New_Followers]]-Table5[[#This Row],[Unfollows]])+Table5[[#This Row],[Total_Followers]])/Table5[[#This Row],[Total_Followers]])</f>
        <v>1.0151476178227443</v>
      </c>
      <c r="I151" s="15">
        <f>Table5[[#This Row],[New_Followers]]-Table5[[#This Row],[Unfollows]]</f>
        <v>1590</v>
      </c>
      <c r="J151" s="44"/>
    </row>
    <row r="152" spans="1:10" ht="14.25" customHeight="1" x14ac:dyDescent="0.3">
      <c r="A152" s="51">
        <v>45705</v>
      </c>
      <c r="B152" s="15" t="s">
        <v>3</v>
      </c>
      <c r="C152" s="15">
        <v>362</v>
      </c>
      <c r="D152" s="15">
        <v>399</v>
      </c>
      <c r="E152" s="15">
        <v>145608</v>
      </c>
      <c r="F152" s="15">
        <v>7.3</v>
      </c>
      <c r="G152" s="15">
        <v>37636</v>
      </c>
      <c r="H152" s="52">
        <f>(((Table5[[#This Row],[New_Followers]]-Table5[[#This Row],[Unfollows]])+Table5[[#This Row],[Total_Followers]])/Table5[[#This Row],[Total_Followers]])</f>
        <v>0.9997458930827976</v>
      </c>
      <c r="I152" s="15">
        <f>Table5[[#This Row],[New_Followers]]-Table5[[#This Row],[Unfollows]]</f>
        <v>-37</v>
      </c>
      <c r="J152" s="44"/>
    </row>
    <row r="153" spans="1:10" ht="14.25" customHeight="1" x14ac:dyDescent="0.3">
      <c r="A153" s="51">
        <v>45705</v>
      </c>
      <c r="B153" s="15" t="s">
        <v>4</v>
      </c>
      <c r="C153" s="15">
        <v>1662</v>
      </c>
      <c r="D153" s="15">
        <v>487</v>
      </c>
      <c r="E153" s="15">
        <v>105980</v>
      </c>
      <c r="F153" s="15">
        <v>9.08</v>
      </c>
      <c r="G153" s="15">
        <v>22996</v>
      </c>
      <c r="H153" s="52">
        <f>(((Table5[[#This Row],[New_Followers]]-Table5[[#This Row],[Unfollows]])+Table5[[#This Row],[Total_Followers]])/Table5[[#This Row],[Total_Followers]])</f>
        <v>1.0110869975467069</v>
      </c>
      <c r="I153" s="15">
        <f>Table5[[#This Row],[New_Followers]]-Table5[[#This Row],[Unfollows]]</f>
        <v>1175</v>
      </c>
      <c r="J153" s="44"/>
    </row>
    <row r="154" spans="1:10" ht="14.25" customHeight="1" x14ac:dyDescent="0.3">
      <c r="A154" s="51">
        <v>45712</v>
      </c>
      <c r="B154" s="15" t="s">
        <v>2</v>
      </c>
      <c r="C154" s="15">
        <v>1440</v>
      </c>
      <c r="D154" s="15">
        <v>65</v>
      </c>
      <c r="E154" s="15">
        <v>126524</v>
      </c>
      <c r="F154" s="15">
        <v>4.34</v>
      </c>
      <c r="G154" s="15">
        <v>49772</v>
      </c>
      <c r="H154" s="52">
        <f>(((Table5[[#This Row],[New_Followers]]-Table5[[#This Row],[Unfollows]])+Table5[[#This Row],[Total_Followers]])/Table5[[#This Row],[Total_Followers]])</f>
        <v>1.0108675033985648</v>
      </c>
      <c r="I154" s="15">
        <f>Table5[[#This Row],[New_Followers]]-Table5[[#This Row],[Unfollows]]</f>
        <v>1375</v>
      </c>
      <c r="J154" s="44"/>
    </row>
    <row r="155" spans="1:10" ht="14.25" customHeight="1" x14ac:dyDescent="0.3">
      <c r="A155" s="51">
        <v>45712</v>
      </c>
      <c r="B155" s="15" t="s">
        <v>1</v>
      </c>
      <c r="C155" s="15">
        <v>1884</v>
      </c>
      <c r="D155" s="15">
        <v>177</v>
      </c>
      <c r="E155" s="15">
        <v>230448</v>
      </c>
      <c r="F155" s="15">
        <v>7.8</v>
      </c>
      <c r="G155" s="15">
        <v>22713</v>
      </c>
      <c r="H155" s="52">
        <f>(((Table5[[#This Row],[New_Followers]]-Table5[[#This Row],[Unfollows]])+Table5[[#This Row],[Total_Followers]])/Table5[[#This Row],[Total_Followers]])</f>
        <v>1.0074073109768797</v>
      </c>
      <c r="I155" s="15">
        <f>Table5[[#This Row],[New_Followers]]-Table5[[#This Row],[Unfollows]]</f>
        <v>1707</v>
      </c>
      <c r="J155" s="44"/>
    </row>
    <row r="156" spans="1:10" ht="14.25" customHeight="1" x14ac:dyDescent="0.3">
      <c r="A156" s="51">
        <v>45712</v>
      </c>
      <c r="B156" s="15" t="s">
        <v>3</v>
      </c>
      <c r="C156" s="15">
        <v>861</v>
      </c>
      <c r="D156" s="15">
        <v>153</v>
      </c>
      <c r="E156" s="15">
        <v>317007</v>
      </c>
      <c r="F156" s="15">
        <v>3.85</v>
      </c>
      <c r="G156" s="15">
        <v>8718</v>
      </c>
      <c r="H156" s="52">
        <f>(((Table5[[#This Row],[New_Followers]]-Table5[[#This Row],[Unfollows]])+Table5[[#This Row],[Total_Followers]])/Table5[[#This Row],[Total_Followers]])</f>
        <v>1.0022333891680626</v>
      </c>
      <c r="I156" s="15">
        <f>Table5[[#This Row],[New_Followers]]-Table5[[#This Row],[Unfollows]]</f>
        <v>708</v>
      </c>
      <c r="J156" s="44"/>
    </row>
    <row r="157" spans="1:10" ht="14.25" customHeight="1" x14ac:dyDescent="0.3">
      <c r="A157" s="51">
        <v>45712</v>
      </c>
      <c r="B157" s="15" t="s">
        <v>4</v>
      </c>
      <c r="C157" s="15">
        <v>1063</v>
      </c>
      <c r="D157" s="15">
        <v>47</v>
      </c>
      <c r="E157" s="15">
        <v>464239</v>
      </c>
      <c r="F157" s="15">
        <v>6.58</v>
      </c>
      <c r="G157" s="15">
        <v>39031</v>
      </c>
      <c r="H157" s="52">
        <f>(((Table5[[#This Row],[New_Followers]]-Table5[[#This Row],[Unfollows]])+Table5[[#This Row],[Total_Followers]])/Table5[[#This Row],[Total_Followers]])</f>
        <v>1.0021885278918832</v>
      </c>
      <c r="I157" s="15">
        <f>Table5[[#This Row],[New_Followers]]-Table5[[#This Row],[Unfollows]]</f>
        <v>1016</v>
      </c>
      <c r="J157" s="44"/>
    </row>
    <row r="158" spans="1:10" ht="14.25" customHeight="1" x14ac:dyDescent="0.3">
      <c r="A158" s="51">
        <v>45719</v>
      </c>
      <c r="B158" s="15" t="s">
        <v>2</v>
      </c>
      <c r="C158" s="15">
        <v>1371</v>
      </c>
      <c r="D158" s="15">
        <v>56</v>
      </c>
      <c r="E158" s="15">
        <v>257579</v>
      </c>
      <c r="F158" s="15">
        <v>8.6199999999999992</v>
      </c>
      <c r="G158" s="15">
        <v>33799</v>
      </c>
      <c r="H158" s="52">
        <f>(((Table5[[#This Row],[New_Followers]]-Table5[[#This Row],[Unfollows]])+Table5[[#This Row],[Total_Followers]])/Table5[[#This Row],[Total_Followers]])</f>
        <v>1.0051052298518124</v>
      </c>
      <c r="I158" s="15">
        <f>Table5[[#This Row],[New_Followers]]-Table5[[#This Row],[Unfollows]]</f>
        <v>1315</v>
      </c>
      <c r="J158" s="44"/>
    </row>
    <row r="159" spans="1:10" ht="14.25" customHeight="1" x14ac:dyDescent="0.3">
      <c r="A159" s="51">
        <v>45719</v>
      </c>
      <c r="B159" s="15" t="s">
        <v>1</v>
      </c>
      <c r="C159" s="15">
        <v>345</v>
      </c>
      <c r="D159" s="15">
        <v>464</v>
      </c>
      <c r="E159" s="15">
        <v>366881</v>
      </c>
      <c r="F159" s="15">
        <v>4.55</v>
      </c>
      <c r="G159" s="15">
        <v>20553</v>
      </c>
      <c r="H159" s="52">
        <f>(((Table5[[#This Row],[New_Followers]]-Table5[[#This Row],[Unfollows]])+Table5[[#This Row],[Total_Followers]])/Table5[[#This Row],[Total_Followers]])</f>
        <v>0.99967564414619459</v>
      </c>
      <c r="I159" s="15">
        <f>Table5[[#This Row],[New_Followers]]-Table5[[#This Row],[Unfollows]]</f>
        <v>-119</v>
      </c>
      <c r="J159" s="44"/>
    </row>
    <row r="160" spans="1:10" ht="14.25" customHeight="1" x14ac:dyDescent="0.3">
      <c r="A160" s="51">
        <v>45719</v>
      </c>
      <c r="B160" s="15" t="s">
        <v>3</v>
      </c>
      <c r="C160" s="15">
        <v>946</v>
      </c>
      <c r="D160" s="15">
        <v>47</v>
      </c>
      <c r="E160" s="15">
        <v>466575</v>
      </c>
      <c r="F160" s="15">
        <v>8.33</v>
      </c>
      <c r="G160" s="15">
        <v>10002</v>
      </c>
      <c r="H160" s="52">
        <f>(((Table5[[#This Row],[New_Followers]]-Table5[[#This Row],[Unfollows]])+Table5[[#This Row],[Total_Followers]])/Table5[[#This Row],[Total_Followers]])</f>
        <v>1.0019268070513851</v>
      </c>
      <c r="I160" s="15">
        <f>Table5[[#This Row],[New_Followers]]-Table5[[#This Row],[Unfollows]]</f>
        <v>899</v>
      </c>
      <c r="J160" s="44"/>
    </row>
    <row r="161" spans="1:10" ht="14.25" customHeight="1" x14ac:dyDescent="0.3">
      <c r="A161" s="51">
        <v>45719</v>
      </c>
      <c r="B161" s="15" t="s">
        <v>4</v>
      </c>
      <c r="C161" s="15">
        <v>510</v>
      </c>
      <c r="D161" s="15">
        <v>195</v>
      </c>
      <c r="E161" s="15">
        <v>224534</v>
      </c>
      <c r="F161" s="15">
        <v>9.4</v>
      </c>
      <c r="G161" s="15">
        <v>30987</v>
      </c>
      <c r="H161" s="52">
        <f>(((Table5[[#This Row],[New_Followers]]-Table5[[#This Row],[Unfollows]])+Table5[[#This Row],[Total_Followers]])/Table5[[#This Row],[Total_Followers]])</f>
        <v>1.0014029055733207</v>
      </c>
      <c r="I161" s="15">
        <f>Table5[[#This Row],[New_Followers]]-Table5[[#This Row],[Unfollows]]</f>
        <v>315</v>
      </c>
      <c r="J161" s="44"/>
    </row>
    <row r="162" spans="1:10" ht="14.25" customHeight="1" x14ac:dyDescent="0.3">
      <c r="A162" s="51">
        <v>45726</v>
      </c>
      <c r="B162" s="15" t="s">
        <v>2</v>
      </c>
      <c r="C162" s="15">
        <v>393</v>
      </c>
      <c r="D162" s="15">
        <v>181</v>
      </c>
      <c r="E162" s="15">
        <v>462142</v>
      </c>
      <c r="F162" s="15">
        <v>7.23</v>
      </c>
      <c r="G162" s="15">
        <v>6296</v>
      </c>
      <c r="H162" s="52">
        <f>(((Table5[[#This Row],[New_Followers]]-Table5[[#This Row],[Unfollows]])+Table5[[#This Row],[Total_Followers]])/Table5[[#This Row],[Total_Followers]])</f>
        <v>1.0004587334628749</v>
      </c>
      <c r="I162" s="15">
        <f>Table5[[#This Row],[New_Followers]]-Table5[[#This Row],[Unfollows]]</f>
        <v>212</v>
      </c>
      <c r="J162" s="44"/>
    </row>
    <row r="163" spans="1:10" ht="14.25" customHeight="1" x14ac:dyDescent="0.3">
      <c r="A163" s="51">
        <v>45726</v>
      </c>
      <c r="B163" s="15" t="s">
        <v>1</v>
      </c>
      <c r="C163" s="15">
        <v>1098</v>
      </c>
      <c r="D163" s="15">
        <v>190</v>
      </c>
      <c r="E163" s="15">
        <v>340842</v>
      </c>
      <c r="F163" s="15">
        <v>9.39</v>
      </c>
      <c r="G163" s="15">
        <v>21539</v>
      </c>
      <c r="H163" s="52">
        <f>(((Table5[[#This Row],[New_Followers]]-Table5[[#This Row],[Unfollows]])+Table5[[#This Row],[Total_Followers]])/Table5[[#This Row],[Total_Followers]])</f>
        <v>1.0026639909400836</v>
      </c>
      <c r="I163" s="15">
        <f>Table5[[#This Row],[New_Followers]]-Table5[[#This Row],[Unfollows]]</f>
        <v>908</v>
      </c>
      <c r="J163" s="44"/>
    </row>
    <row r="164" spans="1:10" ht="14.25" customHeight="1" x14ac:dyDescent="0.3">
      <c r="A164" s="51">
        <v>45726</v>
      </c>
      <c r="B164" s="15" t="s">
        <v>3</v>
      </c>
      <c r="C164" s="15">
        <v>1399</v>
      </c>
      <c r="D164" s="15">
        <v>49</v>
      </c>
      <c r="E164" s="15">
        <v>12471</v>
      </c>
      <c r="F164" s="15">
        <v>5.12</v>
      </c>
      <c r="G164" s="15">
        <v>14722</v>
      </c>
      <c r="H164" s="52">
        <f>(((Table5[[#This Row],[New_Followers]]-Table5[[#This Row],[Unfollows]])+Table5[[#This Row],[Total_Followers]])/Table5[[#This Row],[Total_Followers]])</f>
        <v>1.1082511426509503</v>
      </c>
      <c r="I164" s="15">
        <f>Table5[[#This Row],[New_Followers]]-Table5[[#This Row],[Unfollows]]</f>
        <v>1350</v>
      </c>
      <c r="J164" s="44"/>
    </row>
    <row r="165" spans="1:10" ht="14.25" customHeight="1" x14ac:dyDescent="0.3">
      <c r="A165" s="51">
        <v>45726</v>
      </c>
      <c r="B165" s="15" t="s">
        <v>4</v>
      </c>
      <c r="C165" s="15">
        <v>1658</v>
      </c>
      <c r="D165" s="15">
        <v>416</v>
      </c>
      <c r="E165" s="15">
        <v>98397</v>
      </c>
      <c r="F165" s="15">
        <v>6.11</v>
      </c>
      <c r="G165" s="15">
        <v>11383</v>
      </c>
      <c r="H165" s="52">
        <f>(((Table5[[#This Row],[New_Followers]]-Table5[[#This Row],[Unfollows]])+Table5[[#This Row],[Total_Followers]])/Table5[[#This Row],[Total_Followers]])</f>
        <v>1.0126223360468307</v>
      </c>
      <c r="I165" s="15">
        <f>Table5[[#This Row],[New_Followers]]-Table5[[#This Row],[Unfollows]]</f>
        <v>1242</v>
      </c>
      <c r="J165" s="44"/>
    </row>
    <row r="166" spans="1:10" ht="14.25" customHeight="1" x14ac:dyDescent="0.3">
      <c r="A166" s="51">
        <v>45733</v>
      </c>
      <c r="B166" s="15" t="s">
        <v>2</v>
      </c>
      <c r="C166" s="15">
        <v>1102</v>
      </c>
      <c r="D166" s="15">
        <v>422</v>
      </c>
      <c r="E166" s="15">
        <v>410330</v>
      </c>
      <c r="F166" s="15">
        <v>7.74</v>
      </c>
      <c r="G166" s="15">
        <v>9480</v>
      </c>
      <c r="H166" s="52">
        <f>(((Table5[[#This Row],[New_Followers]]-Table5[[#This Row],[Unfollows]])+Table5[[#This Row],[Total_Followers]])/Table5[[#This Row],[Total_Followers]])</f>
        <v>1.0016572027392587</v>
      </c>
      <c r="I166" s="15">
        <f>Table5[[#This Row],[New_Followers]]-Table5[[#This Row],[Unfollows]]</f>
        <v>680</v>
      </c>
      <c r="J166" s="44"/>
    </row>
    <row r="167" spans="1:10" ht="14.25" customHeight="1" x14ac:dyDescent="0.3">
      <c r="A167" s="51">
        <v>45733</v>
      </c>
      <c r="B167" s="15" t="s">
        <v>1</v>
      </c>
      <c r="C167" s="15">
        <v>1358</v>
      </c>
      <c r="D167" s="15">
        <v>242</v>
      </c>
      <c r="E167" s="15">
        <v>342129</v>
      </c>
      <c r="F167" s="15">
        <v>4.9400000000000004</v>
      </c>
      <c r="G167" s="15">
        <v>29116</v>
      </c>
      <c r="H167" s="52">
        <f>(((Table5[[#This Row],[New_Followers]]-Table5[[#This Row],[Unfollows]])+Table5[[#This Row],[Total_Followers]])/Table5[[#This Row],[Total_Followers]])</f>
        <v>1.0032619275185675</v>
      </c>
      <c r="I167" s="15">
        <f>Table5[[#This Row],[New_Followers]]-Table5[[#This Row],[Unfollows]]</f>
        <v>1116</v>
      </c>
      <c r="J167" s="44"/>
    </row>
    <row r="168" spans="1:10" ht="14.25" customHeight="1" x14ac:dyDescent="0.3">
      <c r="A168" s="51">
        <v>45733</v>
      </c>
      <c r="B168" s="15" t="s">
        <v>3</v>
      </c>
      <c r="C168" s="15">
        <v>1077</v>
      </c>
      <c r="D168" s="15">
        <v>216</v>
      </c>
      <c r="E168" s="15">
        <v>12447</v>
      </c>
      <c r="F168" s="15">
        <v>1.8</v>
      </c>
      <c r="G168" s="15">
        <v>14068</v>
      </c>
      <c r="H168" s="52">
        <f>(((Table5[[#This Row],[New_Followers]]-Table5[[#This Row],[Unfollows]])+Table5[[#This Row],[Total_Followers]])/Table5[[#This Row],[Total_Followers]])</f>
        <v>1.069173294769824</v>
      </c>
      <c r="I168" s="15">
        <f>Table5[[#This Row],[New_Followers]]-Table5[[#This Row],[Unfollows]]</f>
        <v>861</v>
      </c>
      <c r="J168" s="44"/>
    </row>
    <row r="169" spans="1:10" ht="14.25" customHeight="1" x14ac:dyDescent="0.3">
      <c r="A169" s="51">
        <v>45733</v>
      </c>
      <c r="B169" s="15" t="s">
        <v>4</v>
      </c>
      <c r="C169" s="15">
        <v>1596</v>
      </c>
      <c r="D169" s="15">
        <v>211</v>
      </c>
      <c r="E169" s="15">
        <v>17380</v>
      </c>
      <c r="F169" s="15">
        <v>8.64</v>
      </c>
      <c r="G169" s="15">
        <v>35801</v>
      </c>
      <c r="H169" s="52">
        <f>(((Table5[[#This Row],[New_Followers]]-Table5[[#This Row],[Unfollows]])+Table5[[#This Row],[Total_Followers]])/Table5[[#This Row],[Total_Followers]])</f>
        <v>1.0796892980437285</v>
      </c>
      <c r="I169" s="15">
        <f>Table5[[#This Row],[New_Followers]]-Table5[[#This Row],[Unfollows]]</f>
        <v>1385</v>
      </c>
      <c r="J169" s="44"/>
    </row>
    <row r="170" spans="1:10" ht="14.25" customHeight="1" x14ac:dyDescent="0.3">
      <c r="A170" s="51">
        <v>45740</v>
      </c>
      <c r="B170" s="15" t="s">
        <v>2</v>
      </c>
      <c r="C170" s="15">
        <v>490</v>
      </c>
      <c r="D170" s="15">
        <v>29</v>
      </c>
      <c r="E170" s="15">
        <v>364810</v>
      </c>
      <c r="F170" s="15">
        <v>1.53</v>
      </c>
      <c r="G170" s="15">
        <v>49077</v>
      </c>
      <c r="H170" s="52">
        <f>(((Table5[[#This Row],[New_Followers]]-Table5[[#This Row],[Unfollows]])+Table5[[#This Row],[Total_Followers]])/Table5[[#This Row],[Total_Followers]])</f>
        <v>1.001263671500233</v>
      </c>
      <c r="I170" s="15">
        <f>Table5[[#This Row],[New_Followers]]-Table5[[#This Row],[Unfollows]]</f>
        <v>461</v>
      </c>
      <c r="J170" s="44"/>
    </row>
    <row r="171" spans="1:10" ht="14.25" customHeight="1" x14ac:dyDescent="0.3">
      <c r="A171" s="51">
        <v>45740</v>
      </c>
      <c r="B171" s="15" t="s">
        <v>1</v>
      </c>
      <c r="C171" s="15">
        <v>609</v>
      </c>
      <c r="D171" s="15">
        <v>135</v>
      </c>
      <c r="E171" s="15">
        <v>373606</v>
      </c>
      <c r="F171" s="15">
        <v>8.52</v>
      </c>
      <c r="G171" s="15">
        <v>21453</v>
      </c>
      <c r="H171" s="52">
        <f>(((Table5[[#This Row],[New_Followers]]-Table5[[#This Row],[Unfollows]])+Table5[[#This Row],[Total_Followers]])/Table5[[#This Row],[Total_Followers]])</f>
        <v>1.0012687162411738</v>
      </c>
      <c r="I171" s="15">
        <f>Table5[[#This Row],[New_Followers]]-Table5[[#This Row],[Unfollows]]</f>
        <v>474</v>
      </c>
      <c r="J171" s="44"/>
    </row>
    <row r="172" spans="1:10" ht="14.25" customHeight="1" x14ac:dyDescent="0.3">
      <c r="A172" s="51">
        <v>45740</v>
      </c>
      <c r="B172" s="15" t="s">
        <v>3</v>
      </c>
      <c r="C172" s="15">
        <v>364</v>
      </c>
      <c r="D172" s="15">
        <v>72</v>
      </c>
      <c r="E172" s="15">
        <v>211090</v>
      </c>
      <c r="F172" s="15">
        <v>5.53</v>
      </c>
      <c r="G172" s="15">
        <v>21061</v>
      </c>
      <c r="H172" s="52">
        <f>(((Table5[[#This Row],[New_Followers]]-Table5[[#This Row],[Unfollows]])+Table5[[#This Row],[Total_Followers]])/Table5[[#This Row],[Total_Followers]])</f>
        <v>1.0013832962243592</v>
      </c>
      <c r="I172" s="15">
        <f>Table5[[#This Row],[New_Followers]]-Table5[[#This Row],[Unfollows]]</f>
        <v>292</v>
      </c>
      <c r="J172" s="44"/>
    </row>
    <row r="173" spans="1:10" ht="14.25" customHeight="1" x14ac:dyDescent="0.3">
      <c r="A173" s="51">
        <v>45740</v>
      </c>
      <c r="B173" s="15" t="s">
        <v>4</v>
      </c>
      <c r="C173" s="15">
        <v>442</v>
      </c>
      <c r="D173" s="15">
        <v>53</v>
      </c>
      <c r="E173" s="15">
        <v>441931</v>
      </c>
      <c r="F173" s="15">
        <v>1.87</v>
      </c>
      <c r="G173" s="15">
        <v>20059</v>
      </c>
      <c r="H173" s="52">
        <f>(((Table5[[#This Row],[New_Followers]]-Table5[[#This Row],[Unfollows]])+Table5[[#This Row],[Total_Followers]])/Table5[[#This Row],[Total_Followers]])</f>
        <v>1.0008802279088818</v>
      </c>
      <c r="I173" s="15">
        <f>Table5[[#This Row],[New_Followers]]-Table5[[#This Row],[Unfollows]]</f>
        <v>389</v>
      </c>
      <c r="J173" s="44"/>
    </row>
    <row r="174" spans="1:10" ht="14.25" customHeight="1" x14ac:dyDescent="0.3">
      <c r="A174" s="51">
        <v>45747</v>
      </c>
      <c r="B174" s="15" t="s">
        <v>2</v>
      </c>
      <c r="C174" s="15">
        <v>1033</v>
      </c>
      <c r="D174" s="15">
        <v>392</v>
      </c>
      <c r="E174" s="15">
        <v>282780</v>
      </c>
      <c r="F174" s="15">
        <v>6.27</v>
      </c>
      <c r="G174" s="15">
        <v>23140</v>
      </c>
      <c r="H174" s="52">
        <f>(((Table5[[#This Row],[New_Followers]]-Table5[[#This Row],[Unfollows]])+Table5[[#This Row],[Total_Followers]])/Table5[[#This Row],[Total_Followers]])</f>
        <v>1.0022667798288423</v>
      </c>
      <c r="I174" s="15">
        <f>Table5[[#This Row],[New_Followers]]-Table5[[#This Row],[Unfollows]]</f>
        <v>641</v>
      </c>
      <c r="J174" s="44"/>
    </row>
    <row r="175" spans="1:10" ht="14.25" customHeight="1" x14ac:dyDescent="0.3">
      <c r="A175" s="51">
        <v>45747</v>
      </c>
      <c r="B175" s="15" t="s">
        <v>1</v>
      </c>
      <c r="C175" s="15">
        <v>988</v>
      </c>
      <c r="D175" s="15">
        <v>474</v>
      </c>
      <c r="E175" s="15">
        <v>370070</v>
      </c>
      <c r="F175" s="15">
        <v>9.4600000000000009</v>
      </c>
      <c r="G175" s="15">
        <v>23461</v>
      </c>
      <c r="H175" s="52">
        <f>(((Table5[[#This Row],[New_Followers]]-Table5[[#This Row],[Unfollows]])+Table5[[#This Row],[Total_Followers]])/Table5[[#This Row],[Total_Followers]])</f>
        <v>1.0013889264193261</v>
      </c>
      <c r="I175" s="15">
        <f>Table5[[#This Row],[New_Followers]]-Table5[[#This Row],[Unfollows]]</f>
        <v>514</v>
      </c>
      <c r="J175" s="44"/>
    </row>
    <row r="176" spans="1:10" ht="14.25" customHeight="1" x14ac:dyDescent="0.3">
      <c r="A176" s="51">
        <v>45747</v>
      </c>
      <c r="B176" s="15" t="s">
        <v>3</v>
      </c>
      <c r="C176" s="15">
        <v>1946</v>
      </c>
      <c r="D176" s="15">
        <v>270</v>
      </c>
      <c r="E176" s="15">
        <v>198350</v>
      </c>
      <c r="F176" s="15">
        <v>7.5</v>
      </c>
      <c r="G176" s="15">
        <v>11805</v>
      </c>
      <c r="H176" s="52">
        <f>(((Table5[[#This Row],[New_Followers]]-Table5[[#This Row],[Unfollows]])+Table5[[#This Row],[Total_Followers]])/Table5[[#This Row],[Total_Followers]])</f>
        <v>1.0084497101083942</v>
      </c>
      <c r="I176" s="15">
        <f>Table5[[#This Row],[New_Followers]]-Table5[[#This Row],[Unfollows]]</f>
        <v>1676</v>
      </c>
      <c r="J176" s="44"/>
    </row>
    <row r="177" spans="1:10" ht="14.25" customHeight="1" x14ac:dyDescent="0.3">
      <c r="A177" s="51">
        <v>45747</v>
      </c>
      <c r="B177" s="15" t="s">
        <v>4</v>
      </c>
      <c r="C177" s="15">
        <v>1957</v>
      </c>
      <c r="D177" s="15">
        <v>490</v>
      </c>
      <c r="E177" s="15">
        <v>435726</v>
      </c>
      <c r="F177" s="15">
        <v>4.7300000000000004</v>
      </c>
      <c r="G177" s="15">
        <v>15969</v>
      </c>
      <c r="H177" s="52">
        <f>(((Table5[[#This Row],[New_Followers]]-Table5[[#This Row],[Unfollows]])+Table5[[#This Row],[Total_Followers]])/Table5[[#This Row],[Total_Followers]])</f>
        <v>1.0033667947287974</v>
      </c>
      <c r="I177" s="15">
        <f>Table5[[#This Row],[New_Followers]]-Table5[[#This Row],[Unfollows]]</f>
        <v>1467</v>
      </c>
      <c r="J177" s="44"/>
    </row>
    <row r="178" spans="1:10" ht="14.25" customHeight="1" x14ac:dyDescent="0.3">
      <c r="A178" s="51">
        <v>45754</v>
      </c>
      <c r="B178" s="15" t="s">
        <v>2</v>
      </c>
      <c r="C178" s="15">
        <v>559</v>
      </c>
      <c r="D178" s="15">
        <v>392</v>
      </c>
      <c r="E178" s="15">
        <v>78789</v>
      </c>
      <c r="F178" s="15">
        <v>3.19</v>
      </c>
      <c r="G178" s="15">
        <v>2436</v>
      </c>
      <c r="H178" s="52">
        <f>(((Table5[[#This Row],[New_Followers]]-Table5[[#This Row],[Unfollows]])+Table5[[#This Row],[Total_Followers]])/Table5[[#This Row],[Total_Followers]])</f>
        <v>1.0021195852212872</v>
      </c>
      <c r="I178" s="15">
        <f>Table5[[#This Row],[New_Followers]]-Table5[[#This Row],[Unfollows]]</f>
        <v>167</v>
      </c>
      <c r="J178" s="44"/>
    </row>
    <row r="179" spans="1:10" ht="14.25" customHeight="1" x14ac:dyDescent="0.3">
      <c r="A179" s="51">
        <v>45754</v>
      </c>
      <c r="B179" s="15" t="s">
        <v>1</v>
      </c>
      <c r="C179" s="15">
        <v>1307</v>
      </c>
      <c r="D179" s="15">
        <v>278</v>
      </c>
      <c r="E179" s="15">
        <v>98596</v>
      </c>
      <c r="F179" s="15">
        <v>2.4900000000000002</v>
      </c>
      <c r="G179" s="15">
        <v>47603</v>
      </c>
      <c r="H179" s="52">
        <f>(((Table5[[#This Row],[New_Followers]]-Table5[[#This Row],[Unfollows]])+Table5[[#This Row],[Total_Followers]])/Table5[[#This Row],[Total_Followers]])</f>
        <v>1.0104365288652684</v>
      </c>
      <c r="I179" s="15">
        <f>Table5[[#This Row],[New_Followers]]-Table5[[#This Row],[Unfollows]]</f>
        <v>1029</v>
      </c>
      <c r="J179" s="44"/>
    </row>
    <row r="180" spans="1:10" ht="14.25" customHeight="1" x14ac:dyDescent="0.3">
      <c r="A180" s="51">
        <v>45754</v>
      </c>
      <c r="B180" s="15" t="s">
        <v>3</v>
      </c>
      <c r="C180" s="15">
        <v>1432</v>
      </c>
      <c r="D180" s="15">
        <v>425</v>
      </c>
      <c r="E180" s="15">
        <v>29589</v>
      </c>
      <c r="F180" s="15">
        <v>4.5</v>
      </c>
      <c r="G180" s="15">
        <v>42964</v>
      </c>
      <c r="H180" s="52">
        <f>(((Table5[[#This Row],[New_Followers]]-Table5[[#This Row],[Unfollows]])+Table5[[#This Row],[Total_Followers]])/Table5[[#This Row],[Total_Followers]])</f>
        <v>1.0340329176383116</v>
      </c>
      <c r="I180" s="15">
        <f>Table5[[#This Row],[New_Followers]]-Table5[[#This Row],[Unfollows]]</f>
        <v>1007</v>
      </c>
      <c r="J180" s="44"/>
    </row>
    <row r="181" spans="1:10" ht="14.25" customHeight="1" x14ac:dyDescent="0.3">
      <c r="A181" s="51">
        <v>45754</v>
      </c>
      <c r="B181" s="15" t="s">
        <v>4</v>
      </c>
      <c r="C181" s="15">
        <v>623</v>
      </c>
      <c r="D181" s="15">
        <v>414</v>
      </c>
      <c r="E181" s="15">
        <v>290354</v>
      </c>
      <c r="F181" s="15">
        <v>6.49</v>
      </c>
      <c r="G181" s="15">
        <v>39923</v>
      </c>
      <c r="H181" s="52">
        <f>(((Table5[[#This Row],[New_Followers]]-Table5[[#This Row],[Unfollows]])+Table5[[#This Row],[Total_Followers]])/Table5[[#This Row],[Total_Followers]])</f>
        <v>1.000719810989344</v>
      </c>
      <c r="I181" s="15">
        <f>Table5[[#This Row],[New_Followers]]-Table5[[#This Row],[Unfollows]]</f>
        <v>209</v>
      </c>
      <c r="J181" s="44"/>
    </row>
    <row r="182" spans="1:10" ht="14.25" customHeight="1" x14ac:dyDescent="0.3">
      <c r="A182" s="51">
        <v>45761</v>
      </c>
      <c r="B182" s="15" t="s">
        <v>2</v>
      </c>
      <c r="C182" s="15">
        <v>198</v>
      </c>
      <c r="D182" s="15">
        <v>358</v>
      </c>
      <c r="E182" s="15">
        <v>66682</v>
      </c>
      <c r="F182" s="15">
        <v>6.73</v>
      </c>
      <c r="G182" s="15">
        <v>2293</v>
      </c>
      <c r="H182" s="52">
        <f>(((Table5[[#This Row],[New_Followers]]-Table5[[#This Row],[Unfollows]])+Table5[[#This Row],[Total_Followers]])/Table5[[#This Row],[Total_Followers]])</f>
        <v>0.99760055187306917</v>
      </c>
      <c r="I182" s="15">
        <f>Table5[[#This Row],[New_Followers]]-Table5[[#This Row],[Unfollows]]</f>
        <v>-160</v>
      </c>
      <c r="J182" s="44"/>
    </row>
    <row r="183" spans="1:10" ht="14.25" customHeight="1" x14ac:dyDescent="0.3">
      <c r="A183" s="51">
        <v>45761</v>
      </c>
      <c r="B183" s="15" t="s">
        <v>1</v>
      </c>
      <c r="C183" s="15">
        <v>198</v>
      </c>
      <c r="D183" s="15">
        <v>373</v>
      </c>
      <c r="E183" s="15">
        <v>70707</v>
      </c>
      <c r="F183" s="15">
        <v>4.83</v>
      </c>
      <c r="G183" s="15">
        <v>25920</v>
      </c>
      <c r="H183" s="52">
        <f>(((Table5[[#This Row],[New_Followers]]-Table5[[#This Row],[Unfollows]])+Table5[[#This Row],[Total_Followers]])/Table5[[#This Row],[Total_Followers]])</f>
        <v>0.99752499752499757</v>
      </c>
      <c r="I183" s="15">
        <f>Table5[[#This Row],[New_Followers]]-Table5[[#This Row],[Unfollows]]</f>
        <v>-175</v>
      </c>
      <c r="J183" s="44"/>
    </row>
    <row r="184" spans="1:10" ht="14.25" customHeight="1" x14ac:dyDescent="0.3">
      <c r="A184" s="51">
        <v>45761</v>
      </c>
      <c r="B184" s="15" t="s">
        <v>3</v>
      </c>
      <c r="C184" s="15">
        <v>353</v>
      </c>
      <c r="D184" s="15">
        <v>300</v>
      </c>
      <c r="E184" s="15">
        <v>142507</v>
      </c>
      <c r="F184" s="15">
        <v>5.3</v>
      </c>
      <c r="G184" s="15">
        <v>11035</v>
      </c>
      <c r="H184" s="52">
        <f>(((Table5[[#This Row],[New_Followers]]-Table5[[#This Row],[Unfollows]])+Table5[[#This Row],[Total_Followers]])/Table5[[#This Row],[Total_Followers]])</f>
        <v>1.0003719115552219</v>
      </c>
      <c r="I184" s="15">
        <f>Table5[[#This Row],[New_Followers]]-Table5[[#This Row],[Unfollows]]</f>
        <v>53</v>
      </c>
      <c r="J184" s="44"/>
    </row>
    <row r="185" spans="1:10" ht="14.25" customHeight="1" x14ac:dyDescent="0.3">
      <c r="A185" s="51">
        <v>45761</v>
      </c>
      <c r="B185" s="15" t="s">
        <v>4</v>
      </c>
      <c r="C185" s="15">
        <v>520</v>
      </c>
      <c r="D185" s="15">
        <v>375</v>
      </c>
      <c r="E185" s="15">
        <v>369525</v>
      </c>
      <c r="F185" s="15">
        <v>6.54</v>
      </c>
      <c r="G185" s="15">
        <v>20733</v>
      </c>
      <c r="H185" s="52">
        <f>(((Table5[[#This Row],[New_Followers]]-Table5[[#This Row],[Unfollows]])+Table5[[#This Row],[Total_Followers]])/Table5[[#This Row],[Total_Followers]])</f>
        <v>1.0003923956430554</v>
      </c>
      <c r="I185" s="15">
        <f>Table5[[#This Row],[New_Followers]]-Table5[[#This Row],[Unfollows]]</f>
        <v>145</v>
      </c>
      <c r="J185" s="44"/>
    </row>
    <row r="186" spans="1:10" ht="14.25" customHeight="1" x14ac:dyDescent="0.3">
      <c r="A186" s="51">
        <v>45768</v>
      </c>
      <c r="B186" s="15" t="s">
        <v>2</v>
      </c>
      <c r="C186" s="15">
        <v>961</v>
      </c>
      <c r="D186" s="15">
        <v>358</v>
      </c>
      <c r="E186" s="15">
        <v>62942</v>
      </c>
      <c r="F186" s="15">
        <v>6.8</v>
      </c>
      <c r="G186" s="15">
        <v>18693</v>
      </c>
      <c r="H186" s="52">
        <f>(((Table5[[#This Row],[New_Followers]]-Table5[[#This Row],[Unfollows]])+Table5[[#This Row],[Total_Followers]])/Table5[[#This Row],[Total_Followers]])</f>
        <v>1.0095802484827301</v>
      </c>
      <c r="I186" s="15">
        <f>Table5[[#This Row],[New_Followers]]-Table5[[#This Row],[Unfollows]]</f>
        <v>603</v>
      </c>
      <c r="J186" s="44"/>
    </row>
    <row r="187" spans="1:10" ht="14.25" customHeight="1" x14ac:dyDescent="0.3">
      <c r="A187" s="51">
        <v>45768</v>
      </c>
      <c r="B187" s="15" t="s">
        <v>1</v>
      </c>
      <c r="C187" s="15">
        <v>1375</v>
      </c>
      <c r="D187" s="15">
        <v>330</v>
      </c>
      <c r="E187" s="15">
        <v>377382</v>
      </c>
      <c r="F187" s="15">
        <v>2.6</v>
      </c>
      <c r="G187" s="15">
        <v>7875</v>
      </c>
      <c r="H187" s="52">
        <f>(((Table5[[#This Row],[New_Followers]]-Table5[[#This Row],[Unfollows]])+Table5[[#This Row],[Total_Followers]])/Table5[[#This Row],[Total_Followers]])</f>
        <v>1.0027690774864726</v>
      </c>
      <c r="I187" s="15">
        <f>Table5[[#This Row],[New_Followers]]-Table5[[#This Row],[Unfollows]]</f>
        <v>1045</v>
      </c>
      <c r="J187" s="44"/>
    </row>
    <row r="188" spans="1:10" ht="14.25" customHeight="1" x14ac:dyDescent="0.3">
      <c r="A188" s="51">
        <v>45768</v>
      </c>
      <c r="B188" s="15" t="s">
        <v>3</v>
      </c>
      <c r="C188" s="15">
        <v>1147</v>
      </c>
      <c r="D188" s="15">
        <v>388</v>
      </c>
      <c r="E188" s="15">
        <v>333851</v>
      </c>
      <c r="F188" s="15">
        <v>2.44</v>
      </c>
      <c r="G188" s="15">
        <v>8471</v>
      </c>
      <c r="H188" s="52">
        <f>(((Table5[[#This Row],[New_Followers]]-Table5[[#This Row],[Unfollows]])+Table5[[#This Row],[Total_Followers]])/Table5[[#This Row],[Total_Followers]])</f>
        <v>1.0022734693021738</v>
      </c>
      <c r="I188" s="15">
        <f>Table5[[#This Row],[New_Followers]]-Table5[[#This Row],[Unfollows]]</f>
        <v>759</v>
      </c>
      <c r="J188" s="44"/>
    </row>
    <row r="189" spans="1:10" ht="14.25" customHeight="1" x14ac:dyDescent="0.3">
      <c r="A189" s="51">
        <v>45768</v>
      </c>
      <c r="B189" s="15" t="s">
        <v>4</v>
      </c>
      <c r="C189" s="15">
        <v>1707</v>
      </c>
      <c r="D189" s="15">
        <v>74</v>
      </c>
      <c r="E189" s="15">
        <v>270958</v>
      </c>
      <c r="F189" s="15">
        <v>3.09</v>
      </c>
      <c r="G189" s="15">
        <v>14090</v>
      </c>
      <c r="H189" s="52">
        <f>(((Table5[[#This Row],[New_Followers]]-Table5[[#This Row],[Unfollows]])+Table5[[#This Row],[Total_Followers]])/Table5[[#This Row],[Total_Followers]])</f>
        <v>1.0060267642955736</v>
      </c>
      <c r="I189" s="15">
        <f>Table5[[#This Row],[New_Followers]]-Table5[[#This Row],[Unfollows]]</f>
        <v>1633</v>
      </c>
      <c r="J189" s="44"/>
    </row>
    <row r="190" spans="1:10" ht="14.25" customHeight="1" x14ac:dyDescent="0.3">
      <c r="A190" s="51">
        <v>45775</v>
      </c>
      <c r="B190" s="15" t="s">
        <v>2</v>
      </c>
      <c r="C190" s="15">
        <v>1693</v>
      </c>
      <c r="D190" s="15">
        <v>154</v>
      </c>
      <c r="E190" s="15">
        <v>445944</v>
      </c>
      <c r="F190" s="15">
        <v>5.69</v>
      </c>
      <c r="G190" s="15">
        <v>14216</v>
      </c>
      <c r="H190" s="52">
        <f>(((Table5[[#This Row],[New_Followers]]-Table5[[#This Row],[Unfollows]])+Table5[[#This Row],[Total_Followers]])/Table5[[#This Row],[Total_Followers]])</f>
        <v>1.0034511059684623</v>
      </c>
      <c r="I190" s="15">
        <f>Table5[[#This Row],[New_Followers]]-Table5[[#This Row],[Unfollows]]</f>
        <v>1539</v>
      </c>
      <c r="J190" s="44"/>
    </row>
    <row r="191" spans="1:10" ht="14.25" customHeight="1" x14ac:dyDescent="0.3">
      <c r="A191" s="51">
        <v>45775</v>
      </c>
      <c r="B191" s="15" t="s">
        <v>1</v>
      </c>
      <c r="C191" s="15">
        <v>833</v>
      </c>
      <c r="D191" s="15">
        <v>380</v>
      </c>
      <c r="E191" s="15">
        <v>224830</v>
      </c>
      <c r="F191" s="15">
        <v>3.86</v>
      </c>
      <c r="G191" s="15">
        <v>3582</v>
      </c>
      <c r="H191" s="52">
        <f>(((Table5[[#This Row],[New_Followers]]-Table5[[#This Row],[Unfollows]])+Table5[[#This Row],[Total_Followers]])/Table5[[#This Row],[Total_Followers]])</f>
        <v>1.0020148556687274</v>
      </c>
      <c r="I191" s="15">
        <f>Table5[[#This Row],[New_Followers]]-Table5[[#This Row],[Unfollows]]</f>
        <v>453</v>
      </c>
      <c r="J191" s="44"/>
    </row>
    <row r="192" spans="1:10" ht="14.25" customHeight="1" x14ac:dyDescent="0.3">
      <c r="A192" s="51">
        <v>45775</v>
      </c>
      <c r="B192" s="15" t="s">
        <v>3</v>
      </c>
      <c r="C192" s="15">
        <v>1222</v>
      </c>
      <c r="D192" s="15">
        <v>274</v>
      </c>
      <c r="E192" s="15">
        <v>487289</v>
      </c>
      <c r="F192" s="15">
        <v>3.16</v>
      </c>
      <c r="G192" s="15">
        <v>32500</v>
      </c>
      <c r="H192" s="52">
        <f>(((Table5[[#This Row],[New_Followers]]-Table5[[#This Row],[Unfollows]])+Table5[[#This Row],[Total_Followers]])/Table5[[#This Row],[Total_Followers]])</f>
        <v>1.0019454574184929</v>
      </c>
      <c r="I192" s="15">
        <f>Table5[[#This Row],[New_Followers]]-Table5[[#This Row],[Unfollows]]</f>
        <v>948</v>
      </c>
      <c r="J192" s="44"/>
    </row>
    <row r="193" spans="1:10" ht="14.25" customHeight="1" x14ac:dyDescent="0.3">
      <c r="A193" s="51">
        <v>45775</v>
      </c>
      <c r="B193" s="15" t="s">
        <v>4</v>
      </c>
      <c r="C193" s="15">
        <v>777</v>
      </c>
      <c r="D193" s="15">
        <v>140</v>
      </c>
      <c r="E193" s="15">
        <v>11435</v>
      </c>
      <c r="F193" s="15">
        <v>1.6</v>
      </c>
      <c r="G193" s="15">
        <v>6832</v>
      </c>
      <c r="H193" s="52">
        <f>(((Table5[[#This Row],[New_Followers]]-Table5[[#This Row],[Unfollows]])+Table5[[#This Row],[Total_Followers]])/Table5[[#This Row],[Total_Followers]])</f>
        <v>1.0557061652820288</v>
      </c>
      <c r="I193" s="15">
        <f>Table5[[#This Row],[New_Followers]]-Table5[[#This Row],[Unfollows]]</f>
        <v>637</v>
      </c>
      <c r="J193" s="44"/>
    </row>
    <row r="194" spans="1:10" ht="14.25" customHeight="1" x14ac:dyDescent="0.3">
      <c r="A194" s="51">
        <v>45782</v>
      </c>
      <c r="B194" s="15" t="s">
        <v>2</v>
      </c>
      <c r="C194" s="15">
        <v>1957</v>
      </c>
      <c r="D194" s="15">
        <v>76</v>
      </c>
      <c r="E194" s="15">
        <v>447902</v>
      </c>
      <c r="F194" s="15">
        <v>6.09</v>
      </c>
      <c r="G194" s="15">
        <v>33381</v>
      </c>
      <c r="H194" s="52">
        <f>(((Table5[[#This Row],[New_Followers]]-Table5[[#This Row],[Unfollows]])+Table5[[#This Row],[Total_Followers]])/Table5[[#This Row],[Total_Followers]])</f>
        <v>1.0041995793722733</v>
      </c>
      <c r="I194" s="15">
        <f>Table5[[#This Row],[New_Followers]]-Table5[[#This Row],[Unfollows]]</f>
        <v>1881</v>
      </c>
      <c r="J194" s="44"/>
    </row>
    <row r="195" spans="1:10" ht="14.25" customHeight="1" x14ac:dyDescent="0.3">
      <c r="A195" s="51">
        <v>45782</v>
      </c>
      <c r="B195" s="15" t="s">
        <v>1</v>
      </c>
      <c r="C195" s="15">
        <v>405</v>
      </c>
      <c r="D195" s="15">
        <v>66</v>
      </c>
      <c r="E195" s="15">
        <v>418696</v>
      </c>
      <c r="F195" s="15">
        <v>5.59</v>
      </c>
      <c r="G195" s="15">
        <v>48419</v>
      </c>
      <c r="H195" s="52">
        <f>(((Table5[[#This Row],[New_Followers]]-Table5[[#This Row],[Unfollows]])+Table5[[#This Row],[Total_Followers]])/Table5[[#This Row],[Total_Followers]])</f>
        <v>1.0008096566482603</v>
      </c>
      <c r="I195" s="15">
        <f>Table5[[#This Row],[New_Followers]]-Table5[[#This Row],[Unfollows]]</f>
        <v>339</v>
      </c>
      <c r="J195" s="44"/>
    </row>
    <row r="196" spans="1:10" ht="14.25" customHeight="1" x14ac:dyDescent="0.3">
      <c r="A196" s="51">
        <v>45782</v>
      </c>
      <c r="B196" s="15" t="s">
        <v>3</v>
      </c>
      <c r="C196" s="15">
        <v>1581</v>
      </c>
      <c r="D196" s="15">
        <v>71</v>
      </c>
      <c r="E196" s="15">
        <v>484364</v>
      </c>
      <c r="F196" s="15">
        <v>3.55</v>
      </c>
      <c r="G196" s="15">
        <v>16149</v>
      </c>
      <c r="H196" s="52">
        <f>(((Table5[[#This Row],[New_Followers]]-Table5[[#This Row],[Unfollows]])+Table5[[#This Row],[Total_Followers]])/Table5[[#This Row],[Total_Followers]])</f>
        <v>1.0031174901520343</v>
      </c>
      <c r="I196" s="15">
        <f>Table5[[#This Row],[New_Followers]]-Table5[[#This Row],[Unfollows]]</f>
        <v>1510</v>
      </c>
      <c r="J196" s="44"/>
    </row>
    <row r="197" spans="1:10" ht="14.25" customHeight="1" x14ac:dyDescent="0.3">
      <c r="A197" s="51">
        <v>45782</v>
      </c>
      <c r="B197" s="15" t="s">
        <v>4</v>
      </c>
      <c r="C197" s="15">
        <v>1035</v>
      </c>
      <c r="D197" s="15">
        <v>171</v>
      </c>
      <c r="E197" s="15">
        <v>148477</v>
      </c>
      <c r="F197" s="15">
        <v>5.21</v>
      </c>
      <c r="G197" s="15">
        <v>7541</v>
      </c>
      <c r="H197" s="52">
        <f>(((Table5[[#This Row],[New_Followers]]-Table5[[#This Row],[Unfollows]])+Table5[[#This Row],[Total_Followers]])/Table5[[#This Row],[Total_Followers]])</f>
        <v>1.0058190830903102</v>
      </c>
      <c r="I197" s="15">
        <f>Table5[[#This Row],[New_Followers]]-Table5[[#This Row],[Unfollows]]</f>
        <v>864</v>
      </c>
      <c r="J197" s="44"/>
    </row>
    <row r="198" spans="1:10" ht="14.25" customHeight="1" x14ac:dyDescent="0.3">
      <c r="A198" s="51">
        <v>45789</v>
      </c>
      <c r="B198" s="15" t="s">
        <v>2</v>
      </c>
      <c r="C198" s="15">
        <v>1765</v>
      </c>
      <c r="D198" s="15">
        <v>109</v>
      </c>
      <c r="E198" s="15">
        <v>468301</v>
      </c>
      <c r="F198" s="15">
        <v>1.82</v>
      </c>
      <c r="G198" s="15">
        <v>20042</v>
      </c>
      <c r="H198" s="52">
        <f>(((Table5[[#This Row],[New_Followers]]-Table5[[#This Row],[Unfollows]])+Table5[[#This Row],[Total_Followers]])/Table5[[#This Row],[Total_Followers]])</f>
        <v>1.0035361871958419</v>
      </c>
      <c r="I198" s="15">
        <f>Table5[[#This Row],[New_Followers]]-Table5[[#This Row],[Unfollows]]</f>
        <v>1656</v>
      </c>
      <c r="J198" s="44"/>
    </row>
    <row r="199" spans="1:10" ht="14.25" customHeight="1" x14ac:dyDescent="0.3">
      <c r="A199" s="51">
        <v>45789</v>
      </c>
      <c r="B199" s="15" t="s">
        <v>1</v>
      </c>
      <c r="C199" s="15">
        <v>837</v>
      </c>
      <c r="D199" s="15">
        <v>430</v>
      </c>
      <c r="E199" s="15">
        <v>364820</v>
      </c>
      <c r="F199" s="15">
        <v>4</v>
      </c>
      <c r="G199" s="15">
        <v>49400</v>
      </c>
      <c r="H199" s="52">
        <f>(((Table5[[#This Row],[New_Followers]]-Table5[[#This Row],[Unfollows]])+Table5[[#This Row],[Total_Followers]])/Table5[[#This Row],[Total_Followers]])</f>
        <v>1.0011156186612575</v>
      </c>
      <c r="I199" s="15">
        <f>Table5[[#This Row],[New_Followers]]-Table5[[#This Row],[Unfollows]]</f>
        <v>407</v>
      </c>
      <c r="J199" s="44"/>
    </row>
    <row r="200" spans="1:10" ht="14.25" customHeight="1" x14ac:dyDescent="0.3">
      <c r="A200" s="51">
        <v>45789</v>
      </c>
      <c r="B200" s="15" t="s">
        <v>3</v>
      </c>
      <c r="C200" s="15">
        <v>337</v>
      </c>
      <c r="D200" s="15">
        <v>68</v>
      </c>
      <c r="E200" s="15">
        <v>456298</v>
      </c>
      <c r="F200" s="15">
        <v>7.57</v>
      </c>
      <c r="G200" s="15">
        <v>4007</v>
      </c>
      <c r="H200" s="52">
        <f>(((Table5[[#This Row],[New_Followers]]-Table5[[#This Row],[Unfollows]])+Table5[[#This Row],[Total_Followers]])/Table5[[#This Row],[Total_Followers]])</f>
        <v>1.0005895270196232</v>
      </c>
      <c r="I200" s="15">
        <f>Table5[[#This Row],[New_Followers]]-Table5[[#This Row],[Unfollows]]</f>
        <v>269</v>
      </c>
      <c r="J200" s="44"/>
    </row>
    <row r="201" spans="1:10" ht="14.25" customHeight="1" x14ac:dyDescent="0.3">
      <c r="A201" s="51">
        <v>45789</v>
      </c>
      <c r="B201" s="15" t="s">
        <v>4</v>
      </c>
      <c r="C201" s="15">
        <v>119</v>
      </c>
      <c r="D201" s="15">
        <v>456</v>
      </c>
      <c r="E201" s="15">
        <v>82558</v>
      </c>
      <c r="F201" s="15">
        <v>6.81</v>
      </c>
      <c r="G201" s="15">
        <v>12174</v>
      </c>
      <c r="H201" s="52">
        <f>(((Table5[[#This Row],[New_Followers]]-Table5[[#This Row],[Unfollows]])+Table5[[#This Row],[Total_Followers]])/Table5[[#This Row],[Total_Followers]])</f>
        <v>0.99591802126989515</v>
      </c>
      <c r="I201" s="15">
        <f>Table5[[#This Row],[New_Followers]]-Table5[[#This Row],[Unfollows]]</f>
        <v>-337</v>
      </c>
      <c r="J201" s="44"/>
    </row>
    <row r="202" spans="1:10" ht="14.25" customHeight="1" x14ac:dyDescent="0.3"/>
    <row r="203" spans="1:10" ht="14.25" customHeight="1" x14ac:dyDescent="0.3"/>
    <row r="204" spans="1:10" ht="14.25" customHeight="1" x14ac:dyDescent="0.3"/>
    <row r="205" spans="1:10" ht="14.25" customHeight="1" x14ac:dyDescent="0.3"/>
    <row r="206" spans="1:10" ht="14.25" customHeight="1" x14ac:dyDescent="0.3"/>
    <row r="207" spans="1:10" ht="14.25" customHeight="1" x14ac:dyDescent="0.3"/>
    <row r="208" spans="1:10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C843-508E-4A96-AD35-282926C6D868}">
  <dimension ref="A3:B10"/>
  <sheetViews>
    <sheetView workbookViewId="0">
      <selection activeCell="A10" sqref="A10"/>
    </sheetView>
  </sheetViews>
  <sheetFormatPr defaultRowHeight="14.4" x14ac:dyDescent="0.3"/>
  <cols>
    <col min="1" max="1" width="12.5546875" style="15" bestFit="1" customWidth="1"/>
    <col min="2" max="2" width="25.77734375" style="15" bestFit="1" customWidth="1"/>
    <col min="3" max="16384" width="8.88671875" style="15"/>
  </cols>
  <sheetData>
    <row r="3" spans="1:2" x14ac:dyDescent="0.3">
      <c r="A3" s="15" t="s">
        <v>66</v>
      </c>
      <c r="B3" s="15" t="s">
        <v>634</v>
      </c>
    </row>
    <row r="4" spans="1:2" x14ac:dyDescent="0.3">
      <c r="A4" s="17" t="s">
        <v>94</v>
      </c>
      <c r="B4" s="66">
        <v>3490.217391304348</v>
      </c>
    </row>
    <row r="5" spans="1:2" x14ac:dyDescent="0.3">
      <c r="A5" s="17" t="s">
        <v>109</v>
      </c>
      <c r="B5" s="66">
        <v>3483.0158730158732</v>
      </c>
    </row>
    <row r="6" spans="1:2" x14ac:dyDescent="0.3">
      <c r="A6" s="17" t="s">
        <v>85</v>
      </c>
      <c r="B6" s="66">
        <v>3463.6666666666665</v>
      </c>
    </row>
    <row r="7" spans="1:2" x14ac:dyDescent="0.3">
      <c r="A7" s="17" t="s">
        <v>79</v>
      </c>
      <c r="B7" s="66">
        <v>3456.7234042553191</v>
      </c>
    </row>
    <row r="8" spans="1:2" x14ac:dyDescent="0.3">
      <c r="A8" s="17" t="s">
        <v>102</v>
      </c>
      <c r="B8" s="66">
        <v>3440.3050847457625</v>
      </c>
    </row>
    <row r="9" spans="1:2" x14ac:dyDescent="0.3">
      <c r="A9" s="17" t="s">
        <v>129</v>
      </c>
      <c r="B9" s="66">
        <v>3415.5581395348836</v>
      </c>
    </row>
    <row r="10" spans="1:2" x14ac:dyDescent="0.3">
      <c r="A10" s="17" t="s">
        <v>60</v>
      </c>
      <c r="B10" s="66">
        <v>3459.2233333333334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8D20-189D-4193-A72F-F61A9B374063}">
  <dimension ref="A1:D11"/>
  <sheetViews>
    <sheetView tabSelected="1" workbookViewId="0">
      <selection activeCell="K19" sqref="K19"/>
    </sheetView>
  </sheetViews>
  <sheetFormatPr defaultRowHeight="14.4" x14ac:dyDescent="0.3"/>
  <cols>
    <col min="1" max="1" width="8.88671875" style="15"/>
    <col min="2" max="2" width="17" style="15" customWidth="1"/>
    <col min="3" max="3" width="13.33203125" style="15" customWidth="1"/>
    <col min="4" max="4" width="18.44140625" style="15" customWidth="1"/>
    <col min="5" max="5" width="8.88671875" style="15" customWidth="1"/>
    <col min="6" max="8" width="8.88671875" style="15"/>
    <col min="9" max="9" width="9.109375" style="15" bestFit="1" customWidth="1"/>
    <col min="10" max="10" width="10.5546875" style="15" bestFit="1" customWidth="1"/>
    <col min="11" max="11" width="14.5546875" style="15" bestFit="1" customWidth="1"/>
    <col min="12" max="12" width="18.109375" style="15" bestFit="1" customWidth="1"/>
    <col min="13" max="16384" width="8.88671875" style="15"/>
  </cols>
  <sheetData>
    <row r="1" spans="1:4" x14ac:dyDescent="0.3">
      <c r="A1" s="35" t="s">
        <v>64</v>
      </c>
      <c r="B1" s="36" t="s">
        <v>63</v>
      </c>
      <c r="C1" s="36" t="s">
        <v>66</v>
      </c>
      <c r="D1" s="37" t="s">
        <v>76</v>
      </c>
    </row>
    <row r="2" spans="1:4" x14ac:dyDescent="0.3">
      <c r="A2" s="38" t="s">
        <v>495</v>
      </c>
      <c r="B2" s="39" t="s">
        <v>2</v>
      </c>
      <c r="C2" s="39" t="s">
        <v>94</v>
      </c>
      <c r="D2" s="40">
        <v>1.8129251700680271</v>
      </c>
    </row>
    <row r="3" spans="1:4" x14ac:dyDescent="0.3">
      <c r="A3" s="38" t="s">
        <v>225</v>
      </c>
      <c r="B3" s="39" t="s">
        <v>2</v>
      </c>
      <c r="C3" s="39" t="s">
        <v>79</v>
      </c>
      <c r="D3" s="40">
        <v>0.86601941747572797</v>
      </c>
    </row>
    <row r="4" spans="1:4" x14ac:dyDescent="0.3">
      <c r="A4" s="38" t="s">
        <v>512</v>
      </c>
      <c r="B4" s="39" t="s">
        <v>3</v>
      </c>
      <c r="C4" s="39" t="s">
        <v>94</v>
      </c>
      <c r="D4" s="40">
        <v>0.7168674698795181</v>
      </c>
    </row>
    <row r="5" spans="1:4" x14ac:dyDescent="0.3">
      <c r="A5" s="38" t="s">
        <v>433</v>
      </c>
      <c r="B5" s="39" t="s">
        <v>2</v>
      </c>
      <c r="C5" s="39" t="s">
        <v>129</v>
      </c>
      <c r="D5" s="40">
        <v>0.70387596899224802</v>
      </c>
    </row>
    <row r="6" spans="1:4" x14ac:dyDescent="0.3">
      <c r="A6" s="41" t="s">
        <v>427</v>
      </c>
      <c r="B6" s="42" t="s">
        <v>2</v>
      </c>
      <c r="C6" s="42" t="s">
        <v>79</v>
      </c>
      <c r="D6" s="43">
        <v>0.6508215962441315</v>
      </c>
    </row>
    <row r="7" spans="1:4" x14ac:dyDescent="0.3">
      <c r="A7" s="38" t="s">
        <v>233</v>
      </c>
      <c r="B7" s="39" t="s">
        <v>3</v>
      </c>
      <c r="C7" s="39" t="s">
        <v>102</v>
      </c>
      <c r="D7" s="40">
        <v>0.53773584905660377</v>
      </c>
    </row>
    <row r="8" spans="1:4" x14ac:dyDescent="0.3">
      <c r="A8" s="38" t="s">
        <v>560</v>
      </c>
      <c r="B8" s="39" t="s">
        <v>3</v>
      </c>
      <c r="C8" s="39" t="s">
        <v>109</v>
      </c>
      <c r="D8" s="40">
        <v>0.53389830508474578</v>
      </c>
    </row>
    <row r="9" spans="1:4" x14ac:dyDescent="0.3">
      <c r="A9" s="41" t="s">
        <v>376</v>
      </c>
      <c r="B9" s="42" t="s">
        <v>4</v>
      </c>
      <c r="C9" s="42" t="s">
        <v>102</v>
      </c>
      <c r="D9" s="43">
        <v>0.50192307692307692</v>
      </c>
    </row>
    <row r="10" spans="1:4" x14ac:dyDescent="0.3">
      <c r="A10" s="38" t="s">
        <v>482</v>
      </c>
      <c r="B10" s="39" t="s">
        <v>4</v>
      </c>
      <c r="C10" s="39" t="s">
        <v>109</v>
      </c>
      <c r="D10" s="40">
        <v>0.48518407662376534</v>
      </c>
    </row>
    <row r="11" spans="1:4" x14ac:dyDescent="0.3">
      <c r="A11" s="38" t="s">
        <v>248</v>
      </c>
      <c r="B11" s="39" t="s">
        <v>1</v>
      </c>
      <c r="C11" s="39" t="s">
        <v>129</v>
      </c>
      <c r="D11" s="40">
        <v>0.38274706867671693</v>
      </c>
    </row>
  </sheetData>
  <autoFilter ref="A1:D301" xr:uid="{1756B24C-BD22-45CC-91DC-0817328631E4}">
    <sortState xmlns:xlrd2="http://schemas.microsoft.com/office/spreadsheetml/2017/richdata2" ref="A2:D301">
      <sortCondition descending="1" ref="D1:D30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1CE0F-065E-476B-AFA2-99E06B0F8B5A}">
  <dimension ref="A1:K63"/>
  <sheetViews>
    <sheetView workbookViewId="0">
      <selection activeCell="B15" sqref="B15"/>
    </sheetView>
  </sheetViews>
  <sheetFormatPr defaultRowHeight="14.4" x14ac:dyDescent="0.3"/>
  <cols>
    <col min="1" max="1" width="29.77734375" style="15" bestFit="1" customWidth="1"/>
    <col min="2" max="2" width="24.33203125" style="15" customWidth="1"/>
    <col min="3" max="3" width="13.109375" style="15" bestFit="1" customWidth="1"/>
    <col min="4" max="4" width="11.5546875" style="15" bestFit="1" customWidth="1"/>
    <col min="5" max="5" width="15.77734375" style="15" bestFit="1" customWidth="1"/>
    <col min="6" max="6" width="15.33203125" style="15" bestFit="1" customWidth="1"/>
    <col min="7" max="7" width="11.5546875" style="15" bestFit="1" customWidth="1"/>
    <col min="8" max="8" width="24.44140625" style="15" bestFit="1" customWidth="1"/>
    <col min="9" max="9" width="13.109375" style="15" bestFit="1" customWidth="1"/>
    <col min="10" max="10" width="11.5546875" style="15" bestFit="1" customWidth="1"/>
    <col min="11" max="11" width="26" style="15" bestFit="1" customWidth="1"/>
    <col min="12" max="12" width="13.109375" style="15" bestFit="1" customWidth="1"/>
    <col min="13" max="13" width="11.5546875" style="15" bestFit="1" customWidth="1"/>
    <col min="14" max="14" width="29.21875" style="15" bestFit="1" customWidth="1"/>
    <col min="15" max="15" width="13.109375" style="15" bestFit="1" customWidth="1"/>
    <col min="16" max="16" width="11.5546875" style="15" bestFit="1" customWidth="1"/>
    <col min="17" max="17" width="16.6640625" style="15" bestFit="1" customWidth="1"/>
    <col min="18" max="18" width="13.109375" style="15" bestFit="1" customWidth="1"/>
    <col min="19" max="19" width="11.5546875" style="15" bestFit="1" customWidth="1"/>
    <col min="20" max="20" width="27.5546875" style="15" bestFit="1" customWidth="1"/>
    <col min="21" max="21" width="13.109375" style="15" bestFit="1" customWidth="1"/>
    <col min="22" max="22" width="11.5546875" style="15" bestFit="1" customWidth="1"/>
    <col min="23" max="23" width="26.33203125" style="15" bestFit="1" customWidth="1"/>
    <col min="24" max="24" width="13.109375" style="15" bestFit="1" customWidth="1"/>
    <col min="25" max="25" width="11.5546875" style="15" bestFit="1" customWidth="1"/>
    <col min="26" max="26" width="27.77734375" style="15" bestFit="1" customWidth="1"/>
    <col min="27" max="27" width="13.109375" style="15" bestFit="1" customWidth="1"/>
    <col min="28" max="28" width="11.5546875" style="15" bestFit="1" customWidth="1"/>
    <col min="29" max="29" width="31.109375" style="15" bestFit="1" customWidth="1"/>
    <col min="30" max="30" width="13.109375" style="15" bestFit="1" customWidth="1"/>
    <col min="31" max="31" width="11.5546875" style="15" bestFit="1" customWidth="1"/>
    <col min="32" max="32" width="16.6640625" style="15" bestFit="1" customWidth="1"/>
    <col min="33" max="33" width="13.109375" style="15" bestFit="1" customWidth="1"/>
    <col min="34" max="34" width="11.5546875" style="15" bestFit="1" customWidth="1"/>
    <col min="35" max="35" width="24.44140625" style="15" bestFit="1" customWidth="1"/>
    <col min="36" max="36" width="13.109375" style="15" bestFit="1" customWidth="1"/>
    <col min="37" max="37" width="11.5546875" style="15" bestFit="1" customWidth="1"/>
    <col min="38" max="38" width="26.33203125" style="15" bestFit="1" customWidth="1"/>
    <col min="39" max="39" width="13.109375" style="15" bestFit="1" customWidth="1"/>
    <col min="40" max="40" width="11.5546875" style="15" bestFit="1" customWidth="1"/>
    <col min="41" max="41" width="24.6640625" style="15" bestFit="1" customWidth="1"/>
    <col min="42" max="42" width="13.109375" style="15" bestFit="1" customWidth="1"/>
    <col min="43" max="43" width="11.5546875" style="15" bestFit="1" customWidth="1"/>
    <col min="44" max="44" width="28" style="15" bestFit="1" customWidth="1"/>
    <col min="45" max="45" width="13.109375" style="15" bestFit="1" customWidth="1"/>
    <col min="46" max="46" width="11.5546875" style="15" bestFit="1" customWidth="1"/>
    <col min="47" max="47" width="16.6640625" style="15" bestFit="1" customWidth="1"/>
    <col min="48" max="48" width="13.109375" style="15" bestFit="1" customWidth="1"/>
    <col min="49" max="49" width="11.5546875" style="15" bestFit="1" customWidth="1"/>
    <col min="50" max="50" width="26" style="15" bestFit="1" customWidth="1"/>
    <col min="51" max="51" width="13.109375" style="15" bestFit="1" customWidth="1"/>
    <col min="52" max="52" width="11.5546875" style="15" bestFit="1" customWidth="1"/>
    <col min="53" max="53" width="27.77734375" style="15" bestFit="1" customWidth="1"/>
    <col min="54" max="54" width="13.109375" style="15" bestFit="1" customWidth="1"/>
    <col min="55" max="55" width="11.5546875" style="15" bestFit="1" customWidth="1"/>
    <col min="56" max="56" width="24.6640625" style="15" bestFit="1" customWidth="1"/>
    <col min="57" max="57" width="13.109375" style="15" bestFit="1" customWidth="1"/>
    <col min="58" max="58" width="11.5546875" style="15" bestFit="1" customWidth="1"/>
    <col min="59" max="59" width="29.5546875" style="15" bestFit="1" customWidth="1"/>
    <col min="60" max="60" width="13.109375" style="15" bestFit="1" customWidth="1"/>
    <col min="61" max="61" width="11.5546875" style="15" bestFit="1" customWidth="1"/>
    <col min="62" max="62" width="16.6640625" style="15" bestFit="1" customWidth="1"/>
    <col min="63" max="63" width="13.109375" style="15" bestFit="1" customWidth="1"/>
    <col min="64" max="64" width="11.5546875" style="15" bestFit="1" customWidth="1"/>
    <col min="65" max="65" width="29.21875" style="15" bestFit="1" customWidth="1"/>
    <col min="66" max="66" width="13.109375" style="15" bestFit="1" customWidth="1"/>
    <col min="67" max="67" width="11.5546875" style="15" bestFit="1" customWidth="1"/>
    <col min="68" max="68" width="31.109375" style="15" bestFit="1" customWidth="1"/>
    <col min="69" max="69" width="13.109375" style="15" bestFit="1" customWidth="1"/>
    <col min="70" max="70" width="11.5546875" style="15" bestFit="1" customWidth="1"/>
    <col min="71" max="71" width="28" style="15" bestFit="1" customWidth="1"/>
    <col min="72" max="72" width="13.109375" style="15" bestFit="1" customWidth="1"/>
    <col min="73" max="73" width="11.5546875" style="15" bestFit="1" customWidth="1"/>
    <col min="74" max="74" width="29.5546875" style="15" bestFit="1" customWidth="1"/>
    <col min="75" max="75" width="13.109375" style="15" bestFit="1" customWidth="1"/>
    <col min="76" max="76" width="11.5546875" style="15" bestFit="1" customWidth="1"/>
    <col min="77" max="77" width="21.5546875" style="15" bestFit="1" customWidth="1"/>
    <col min="78" max="78" width="17.88671875" style="15" bestFit="1" customWidth="1"/>
    <col min="79" max="79" width="16.33203125" style="15" bestFit="1" customWidth="1"/>
    <col min="80" max="106" width="16.77734375" style="15" bestFit="1" customWidth="1"/>
    <col min="107" max="107" width="19.5546875" style="15" bestFit="1" customWidth="1"/>
    <col min="108" max="176" width="13.6640625" style="15" bestFit="1" customWidth="1"/>
    <col min="177" max="177" width="16.44140625" style="15" bestFit="1" customWidth="1"/>
    <col min="178" max="237" width="15.21875" style="15" bestFit="1" customWidth="1"/>
    <col min="238" max="238" width="18" style="15" bestFit="1" customWidth="1"/>
    <col min="239" max="304" width="18.44140625" style="15" bestFit="1" customWidth="1"/>
    <col min="305" max="305" width="21.33203125" style="15" bestFit="1" customWidth="1"/>
    <col min="306" max="306" width="10.77734375" style="15" bestFit="1" customWidth="1"/>
    <col min="307" max="16384" width="8.88671875" style="15"/>
  </cols>
  <sheetData>
    <row r="1" spans="1:2" ht="21" x14ac:dyDescent="0.4">
      <c r="A1" s="18" t="s">
        <v>628</v>
      </c>
      <c r="B1" s="18" t="s">
        <v>629</v>
      </c>
    </row>
    <row r="2" spans="1:2" x14ac:dyDescent="0.3">
      <c r="A2" s="19" t="s">
        <v>137</v>
      </c>
      <c r="B2" s="20">
        <v>152.57499999999999</v>
      </c>
    </row>
    <row r="3" spans="1:2" x14ac:dyDescent="0.3">
      <c r="A3" s="19" t="s">
        <v>87</v>
      </c>
      <c r="B3" s="20">
        <v>140.96385542168676</v>
      </c>
    </row>
    <row r="4" spans="1:2" x14ac:dyDescent="0.3">
      <c r="A4" s="19" t="s">
        <v>81</v>
      </c>
      <c r="B4" s="20">
        <v>149.70103092783506</v>
      </c>
    </row>
    <row r="5" spans="1:2" x14ac:dyDescent="0.3">
      <c r="A5" s="19" t="s">
        <v>104</v>
      </c>
      <c r="B5" s="20">
        <v>165.27173913043478</v>
      </c>
    </row>
    <row r="6" spans="1:2" x14ac:dyDescent="0.3">
      <c r="A6" s="19" t="s">
        <v>118</v>
      </c>
      <c r="B6" s="20">
        <v>146.16346153846155</v>
      </c>
    </row>
    <row r="7" spans="1:2" ht="21" x14ac:dyDescent="0.4">
      <c r="A7" s="21" t="s">
        <v>60</v>
      </c>
      <c r="B7" s="22">
        <v>150.94956140350877</v>
      </c>
    </row>
    <row r="46" spans="9:11" x14ac:dyDescent="0.3">
      <c r="I46" s="23"/>
      <c r="J46" s="24"/>
      <c r="K46" s="25"/>
    </row>
    <row r="47" spans="9:11" x14ac:dyDescent="0.3">
      <c r="I47" s="26"/>
      <c r="J47" s="27"/>
      <c r="K47" s="28"/>
    </row>
    <row r="48" spans="9:11" x14ac:dyDescent="0.3">
      <c r="I48" s="26"/>
      <c r="J48" s="27"/>
      <c r="K48" s="28"/>
    </row>
    <row r="49" spans="9:11" x14ac:dyDescent="0.3">
      <c r="I49" s="26"/>
      <c r="J49" s="27"/>
      <c r="K49" s="28"/>
    </row>
    <row r="50" spans="9:11" x14ac:dyDescent="0.3">
      <c r="I50" s="26"/>
      <c r="J50" s="27"/>
      <c r="K50" s="28"/>
    </row>
    <row r="51" spans="9:11" x14ac:dyDescent="0.3">
      <c r="I51" s="26"/>
      <c r="J51" s="27"/>
      <c r="K51" s="28"/>
    </row>
    <row r="52" spans="9:11" x14ac:dyDescent="0.3">
      <c r="I52" s="26"/>
      <c r="J52" s="27"/>
      <c r="K52" s="28"/>
    </row>
    <row r="53" spans="9:11" x14ac:dyDescent="0.3">
      <c r="I53" s="26"/>
      <c r="J53" s="27"/>
      <c r="K53" s="28"/>
    </row>
    <row r="54" spans="9:11" x14ac:dyDescent="0.3">
      <c r="I54" s="26"/>
      <c r="J54" s="27"/>
      <c r="K54" s="28"/>
    </row>
    <row r="55" spans="9:11" x14ac:dyDescent="0.3">
      <c r="I55" s="26"/>
      <c r="J55" s="27"/>
      <c r="K55" s="28"/>
    </row>
    <row r="56" spans="9:11" x14ac:dyDescent="0.3">
      <c r="I56" s="26"/>
      <c r="J56" s="27"/>
      <c r="K56" s="28"/>
    </row>
    <row r="57" spans="9:11" x14ac:dyDescent="0.3">
      <c r="I57" s="26"/>
      <c r="J57" s="27"/>
      <c r="K57" s="28"/>
    </row>
    <row r="58" spans="9:11" x14ac:dyDescent="0.3">
      <c r="I58" s="26"/>
      <c r="J58" s="27"/>
      <c r="K58" s="28"/>
    </row>
    <row r="59" spans="9:11" x14ac:dyDescent="0.3">
      <c r="I59" s="26"/>
      <c r="J59" s="27"/>
      <c r="K59" s="28"/>
    </row>
    <row r="60" spans="9:11" x14ac:dyDescent="0.3">
      <c r="I60" s="26"/>
      <c r="J60" s="27"/>
      <c r="K60" s="28"/>
    </row>
    <row r="61" spans="9:11" x14ac:dyDescent="0.3">
      <c r="I61" s="26"/>
      <c r="J61" s="27"/>
      <c r="K61" s="28"/>
    </row>
    <row r="62" spans="9:11" x14ac:dyDescent="0.3">
      <c r="I62" s="26"/>
      <c r="J62" s="27"/>
      <c r="K62" s="28"/>
    </row>
    <row r="63" spans="9:11" x14ac:dyDescent="0.3">
      <c r="I63" s="29"/>
      <c r="J63" s="30"/>
      <c r="K63" s="3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B7DD-04FA-418B-B20F-8E91F2AC2860}">
  <dimension ref="A2:P12"/>
  <sheetViews>
    <sheetView zoomScale="74" workbookViewId="0">
      <selection activeCell="C12" sqref="C12"/>
    </sheetView>
  </sheetViews>
  <sheetFormatPr defaultRowHeight="14.4" x14ac:dyDescent="0.3"/>
  <cols>
    <col min="1" max="1" width="13.44140625" style="15" bestFit="1" customWidth="1"/>
    <col min="2" max="2" width="16" style="15" bestFit="1" customWidth="1"/>
    <col min="3" max="3" width="12.77734375" style="15" bestFit="1" customWidth="1"/>
    <col min="4" max="4" width="16.33203125" style="15" bestFit="1" customWidth="1"/>
    <col min="5" max="5" width="11.21875" style="15" bestFit="1" customWidth="1"/>
    <col min="6" max="6" width="12.77734375" style="15" bestFit="1" customWidth="1"/>
    <col min="7" max="7" width="16.33203125" style="15" bestFit="1" customWidth="1"/>
    <col min="8" max="8" width="11.21875" style="15" bestFit="1" customWidth="1"/>
    <col min="9" max="9" width="12.77734375" style="15" bestFit="1" customWidth="1"/>
    <col min="10" max="10" width="16.33203125" style="15" bestFit="1" customWidth="1"/>
    <col min="11" max="11" width="11.21875" style="15" bestFit="1" customWidth="1"/>
    <col min="12" max="12" width="12.77734375" style="15" bestFit="1" customWidth="1"/>
    <col min="13" max="13" width="16.33203125" style="15" bestFit="1" customWidth="1"/>
    <col min="14" max="14" width="16.21875" style="15" bestFit="1" customWidth="1"/>
    <col min="15" max="15" width="17.6640625" style="15" bestFit="1" customWidth="1"/>
    <col min="16" max="16" width="21.33203125" style="15" bestFit="1" customWidth="1"/>
    <col min="17" max="16384" width="8.88671875" style="15"/>
  </cols>
  <sheetData>
    <row r="2" spans="1:16" ht="34.200000000000003" customHeight="1" x14ac:dyDescent="0.5">
      <c r="G2" s="16" t="s">
        <v>620</v>
      </c>
    </row>
    <row r="3" spans="1:16" x14ac:dyDescent="0.3">
      <c r="A3"/>
      <c r="B3" s="10" t="s">
        <v>621</v>
      </c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16" x14ac:dyDescent="0.3">
      <c r="A4"/>
      <c r="B4" t="s">
        <v>1</v>
      </c>
      <c r="C4"/>
      <c r="D4"/>
      <c r="E4" t="s">
        <v>2</v>
      </c>
      <c r="F4"/>
      <c r="G4"/>
      <c r="H4" t="s">
        <v>3</v>
      </c>
      <c r="I4"/>
      <c r="J4"/>
      <c r="K4" t="s">
        <v>4</v>
      </c>
      <c r="L4"/>
      <c r="M4"/>
      <c r="N4" t="s">
        <v>622</v>
      </c>
      <c r="O4" t="s">
        <v>623</v>
      </c>
      <c r="P4" t="s">
        <v>624</v>
      </c>
    </row>
    <row r="5" spans="1:16" x14ac:dyDescent="0.3">
      <c r="A5" s="10" t="s">
        <v>59</v>
      </c>
      <c r="B5" t="s">
        <v>625</v>
      </c>
      <c r="C5" t="s">
        <v>626</v>
      </c>
      <c r="D5" t="s">
        <v>627</v>
      </c>
      <c r="E5" t="s">
        <v>625</v>
      </c>
      <c r="F5" t="s">
        <v>626</v>
      </c>
      <c r="G5" t="s">
        <v>627</v>
      </c>
      <c r="H5" t="s">
        <v>625</v>
      </c>
      <c r="I5" t="s">
        <v>626</v>
      </c>
      <c r="J5" t="s">
        <v>627</v>
      </c>
      <c r="K5" t="s">
        <v>625</v>
      </c>
      <c r="L5" t="s">
        <v>626</v>
      </c>
      <c r="M5" t="s">
        <v>627</v>
      </c>
      <c r="N5"/>
      <c r="O5"/>
      <c r="P5"/>
    </row>
    <row r="6" spans="1:16" x14ac:dyDescent="0.3">
      <c r="A6" s="2" t="s">
        <v>102</v>
      </c>
      <c r="B6">
        <v>44476</v>
      </c>
      <c r="C6">
        <v>7400</v>
      </c>
      <c r="D6">
        <v>4589</v>
      </c>
      <c r="E6">
        <v>43948</v>
      </c>
      <c r="F6">
        <v>6975</v>
      </c>
      <c r="G6">
        <v>3890</v>
      </c>
      <c r="H6">
        <v>48649</v>
      </c>
      <c r="I6">
        <v>5791</v>
      </c>
      <c r="J6">
        <v>3607</v>
      </c>
      <c r="K6">
        <v>24926</v>
      </c>
      <c r="L6">
        <v>6305</v>
      </c>
      <c r="M6">
        <v>2422</v>
      </c>
      <c r="N6">
        <v>161999</v>
      </c>
      <c r="O6">
        <v>26471</v>
      </c>
      <c r="P6">
        <v>14508</v>
      </c>
    </row>
    <row r="7" spans="1:16" x14ac:dyDescent="0.3">
      <c r="A7" s="2" t="s">
        <v>109</v>
      </c>
      <c r="B7">
        <v>71602</v>
      </c>
      <c r="C7">
        <v>12904</v>
      </c>
      <c r="D7">
        <v>6495</v>
      </c>
      <c r="E7">
        <v>34202</v>
      </c>
      <c r="F7">
        <v>5286</v>
      </c>
      <c r="G7">
        <v>2655</v>
      </c>
      <c r="H7">
        <v>43761</v>
      </c>
      <c r="I7">
        <v>7110</v>
      </c>
      <c r="J7">
        <v>5125</v>
      </c>
      <c r="K7">
        <v>23903</v>
      </c>
      <c r="L7">
        <v>4310</v>
      </c>
      <c r="M7">
        <v>2077</v>
      </c>
      <c r="N7">
        <v>173468</v>
      </c>
      <c r="O7">
        <v>29610</v>
      </c>
      <c r="P7">
        <v>16352</v>
      </c>
    </row>
    <row r="8" spans="1:16" x14ac:dyDescent="0.3">
      <c r="A8" s="2" t="s">
        <v>79</v>
      </c>
      <c r="B8">
        <v>36368</v>
      </c>
      <c r="C8">
        <v>5964</v>
      </c>
      <c r="D8">
        <v>3353</v>
      </c>
      <c r="E8">
        <v>32148</v>
      </c>
      <c r="F8">
        <v>8110</v>
      </c>
      <c r="G8">
        <v>3386</v>
      </c>
      <c r="H8">
        <v>27029</v>
      </c>
      <c r="I8">
        <v>4550</v>
      </c>
      <c r="J8">
        <v>1913</v>
      </c>
      <c r="K8">
        <v>32400</v>
      </c>
      <c r="L8">
        <v>4577</v>
      </c>
      <c r="M8">
        <v>2668</v>
      </c>
      <c r="N8">
        <v>127945</v>
      </c>
      <c r="O8">
        <v>23201</v>
      </c>
      <c r="P8">
        <v>11320</v>
      </c>
    </row>
    <row r="9" spans="1:16" x14ac:dyDescent="0.3">
      <c r="A9" s="2" t="s">
        <v>94</v>
      </c>
      <c r="B9">
        <v>29405</v>
      </c>
      <c r="C9">
        <v>4950</v>
      </c>
      <c r="D9">
        <v>3223</v>
      </c>
      <c r="E9">
        <v>42649</v>
      </c>
      <c r="F9">
        <v>10049</v>
      </c>
      <c r="G9">
        <v>3846</v>
      </c>
      <c r="H9">
        <v>20466</v>
      </c>
      <c r="I9">
        <v>5090</v>
      </c>
      <c r="J9">
        <v>3026</v>
      </c>
      <c r="K9">
        <v>31968</v>
      </c>
      <c r="L9">
        <v>3866</v>
      </c>
      <c r="M9">
        <v>2012</v>
      </c>
      <c r="N9">
        <v>124488</v>
      </c>
      <c r="O9">
        <v>23955</v>
      </c>
      <c r="P9">
        <v>12107</v>
      </c>
    </row>
    <row r="10" spans="1:16" x14ac:dyDescent="0.3">
      <c r="A10" s="2" t="s">
        <v>85</v>
      </c>
      <c r="B10">
        <v>31963</v>
      </c>
      <c r="C10">
        <v>4792</v>
      </c>
      <c r="D10">
        <v>3377</v>
      </c>
      <c r="E10">
        <v>25567</v>
      </c>
      <c r="F10">
        <v>5112</v>
      </c>
      <c r="G10">
        <v>1946</v>
      </c>
      <c r="H10">
        <v>31899</v>
      </c>
      <c r="I10">
        <v>4861</v>
      </c>
      <c r="J10">
        <v>3910</v>
      </c>
      <c r="K10">
        <v>27067</v>
      </c>
      <c r="L10">
        <v>3928</v>
      </c>
      <c r="M10">
        <v>1052</v>
      </c>
      <c r="N10">
        <v>116496</v>
      </c>
      <c r="O10">
        <v>18693</v>
      </c>
      <c r="P10">
        <v>10285</v>
      </c>
    </row>
    <row r="11" spans="1:16" x14ac:dyDescent="0.3">
      <c r="A11" s="2" t="s">
        <v>129</v>
      </c>
      <c r="B11">
        <v>28947</v>
      </c>
      <c r="C11">
        <v>3171</v>
      </c>
      <c r="D11">
        <v>2263</v>
      </c>
      <c r="E11">
        <v>25770</v>
      </c>
      <c r="F11">
        <v>5912</v>
      </c>
      <c r="G11">
        <v>2128</v>
      </c>
      <c r="H11">
        <v>29593</v>
      </c>
      <c r="I11">
        <v>6326</v>
      </c>
      <c r="J11">
        <v>3299</v>
      </c>
      <c r="K11">
        <v>31285</v>
      </c>
      <c r="L11">
        <v>5586</v>
      </c>
      <c r="M11">
        <v>2589</v>
      </c>
      <c r="N11">
        <v>115595</v>
      </c>
      <c r="O11">
        <v>20995</v>
      </c>
      <c r="P11">
        <v>10279</v>
      </c>
    </row>
    <row r="12" spans="1:16" x14ac:dyDescent="0.3">
      <c r="A12" s="2" t="s">
        <v>60</v>
      </c>
      <c r="B12">
        <v>242761</v>
      </c>
      <c r="C12">
        <v>39181</v>
      </c>
      <c r="D12">
        <v>23300</v>
      </c>
      <c r="E12">
        <v>204284</v>
      </c>
      <c r="F12">
        <v>41444</v>
      </c>
      <c r="G12">
        <v>17851</v>
      </c>
      <c r="H12">
        <v>201397</v>
      </c>
      <c r="I12">
        <v>33728</v>
      </c>
      <c r="J12">
        <v>20880</v>
      </c>
      <c r="K12">
        <v>171549</v>
      </c>
      <c r="L12">
        <v>28572</v>
      </c>
      <c r="M12">
        <v>12820</v>
      </c>
      <c r="N12">
        <v>819991</v>
      </c>
      <c r="O12">
        <v>142925</v>
      </c>
      <c r="P12">
        <v>74851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31F2-451C-4C89-999B-B8D8EE961999}">
  <dimension ref="A3:B8"/>
  <sheetViews>
    <sheetView workbookViewId="0">
      <selection activeCell="B8" sqref="B8"/>
    </sheetView>
  </sheetViews>
  <sheetFormatPr defaultRowHeight="14.4" x14ac:dyDescent="0.3"/>
  <cols>
    <col min="1" max="1" width="18.109375" style="15" bestFit="1" customWidth="1"/>
    <col min="2" max="2" width="32.33203125" style="15" bestFit="1" customWidth="1"/>
    <col min="3" max="301" width="5.109375" style="15" bestFit="1" customWidth="1"/>
    <col min="302" max="302" width="10.77734375" style="15" bestFit="1" customWidth="1"/>
    <col min="303" max="16384" width="8.88671875" style="15"/>
  </cols>
  <sheetData>
    <row r="3" spans="1:2" ht="21" x14ac:dyDescent="0.4">
      <c r="A3" s="72" t="s">
        <v>628</v>
      </c>
      <c r="B3" s="72" t="s">
        <v>630</v>
      </c>
    </row>
    <row r="4" spans="1:2" ht="15.6" x14ac:dyDescent="0.3">
      <c r="A4" s="73" t="s">
        <v>87</v>
      </c>
      <c r="B4" s="74">
        <v>7.6291118150242418</v>
      </c>
    </row>
    <row r="5" spans="1:2" ht="15.6" x14ac:dyDescent="0.3">
      <c r="A5" s="73" t="s">
        <v>81</v>
      </c>
      <c r="B5" s="74">
        <v>10.433795417255563</v>
      </c>
    </row>
    <row r="6" spans="1:2" ht="15.6" x14ac:dyDescent="0.3">
      <c r="A6" s="73" t="s">
        <v>104</v>
      </c>
      <c r="B6" s="74">
        <v>8.5329110513885063</v>
      </c>
    </row>
    <row r="7" spans="1:2" ht="15.6" x14ac:dyDescent="0.3">
      <c r="A7" s="73" t="s">
        <v>118</v>
      </c>
      <c r="B7" s="74">
        <v>11.368282354221092</v>
      </c>
    </row>
    <row r="8" spans="1:2" ht="15.6" x14ac:dyDescent="0.3">
      <c r="A8" s="73" t="s">
        <v>137</v>
      </c>
      <c r="B8" s="74">
        <v>6.5207168016691384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41AF-7663-4B5E-95F9-C03D7B86AC0B}">
  <dimension ref="A1"/>
  <sheetViews>
    <sheetView workbookViewId="0">
      <selection activeCell="K22" sqref="K22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5AB1-57E7-4B66-87AB-74D9313F5B1B}">
  <dimension ref="A1:B6"/>
  <sheetViews>
    <sheetView workbookViewId="0">
      <selection activeCell="A5" sqref="A5:B5"/>
      <pivotSelection pane="bottomRight" showHeader="1" extendable="1" axis="axisRow" start="3" max="5" activeRow="4" previousRow="4" click="1" r:id="rId1">
        <pivotArea dataOnly="0" fieldPosition="0">
          <references count="1">
            <reference field="1" count="1">
              <x v="3"/>
            </reference>
          </references>
        </pivotArea>
      </pivotSelection>
    </sheetView>
  </sheetViews>
  <sheetFormatPr defaultRowHeight="14.4" x14ac:dyDescent="0.3"/>
  <cols>
    <col min="1" max="1" width="16" style="15" bestFit="1" customWidth="1"/>
    <col min="2" max="2" width="32.33203125" style="15" bestFit="1" customWidth="1"/>
    <col min="3" max="16384" width="8.88671875" style="15"/>
  </cols>
  <sheetData>
    <row r="1" spans="1:2" ht="21" x14ac:dyDescent="0.4">
      <c r="A1" s="75" t="s">
        <v>631</v>
      </c>
      <c r="B1" s="76" t="s">
        <v>630</v>
      </c>
    </row>
    <row r="2" spans="1:2" ht="15.6" x14ac:dyDescent="0.3">
      <c r="A2" s="77" t="s">
        <v>2</v>
      </c>
      <c r="B2" s="78">
        <v>15.270113578199558</v>
      </c>
    </row>
    <row r="3" spans="1:2" ht="15.6" x14ac:dyDescent="0.3">
      <c r="A3" s="77" t="s">
        <v>3</v>
      </c>
      <c r="B3" s="78">
        <v>11.351041873024231</v>
      </c>
    </row>
    <row r="4" spans="1:2" ht="15.6" x14ac:dyDescent="0.3">
      <c r="A4" s="77" t="s">
        <v>1</v>
      </c>
      <c r="B4" s="78">
        <v>10.123750663590013</v>
      </c>
    </row>
    <row r="5" spans="1:2" ht="15.6" x14ac:dyDescent="0.3">
      <c r="A5" s="77" t="s">
        <v>4</v>
      </c>
      <c r="B5" s="78">
        <v>7.7399113247447424</v>
      </c>
    </row>
    <row r="6" spans="1:2" ht="21" x14ac:dyDescent="0.4">
      <c r="A6" s="80" t="s">
        <v>60</v>
      </c>
      <c r="B6" s="79">
        <v>44.48481743955854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CF34-CA5C-4184-86FF-C22F2EAF3B57}">
  <dimension ref="A1:B6"/>
  <sheetViews>
    <sheetView workbookViewId="0">
      <selection activeCell="E20" sqref="E20"/>
    </sheetView>
  </sheetViews>
  <sheetFormatPr defaultRowHeight="14.4" x14ac:dyDescent="0.3"/>
  <cols>
    <col min="1" max="1" width="12.5546875" style="15" customWidth="1"/>
    <col min="2" max="2" width="29.88671875" style="15" customWidth="1"/>
    <col min="3" max="3" width="15.5546875" style="15" bestFit="1" customWidth="1"/>
    <col min="4" max="4" width="12.5546875" style="15" bestFit="1" customWidth="1"/>
    <col min="5" max="5" width="19.5546875" style="15" bestFit="1" customWidth="1"/>
    <col min="6" max="6" width="10.77734375" style="15" bestFit="1" customWidth="1"/>
    <col min="7" max="16384" width="8.88671875" style="15"/>
  </cols>
  <sheetData>
    <row r="1" spans="1:2" ht="21" x14ac:dyDescent="0.4">
      <c r="A1" s="18" t="s">
        <v>63</v>
      </c>
      <c r="B1" s="18" t="s">
        <v>56</v>
      </c>
    </row>
    <row r="2" spans="1:2" ht="15.6" x14ac:dyDescent="0.3">
      <c r="A2" s="33" t="s">
        <v>1</v>
      </c>
      <c r="B2" s="32">
        <v>35557</v>
      </c>
    </row>
    <row r="3" spans="1:2" ht="15.6" x14ac:dyDescent="0.3">
      <c r="A3" s="33" t="s">
        <v>2</v>
      </c>
      <c r="B3" s="32">
        <v>48004</v>
      </c>
    </row>
    <row r="4" spans="1:2" ht="15.6" x14ac:dyDescent="0.3">
      <c r="A4" s="33" t="s">
        <v>3</v>
      </c>
      <c r="B4" s="32">
        <v>41177</v>
      </c>
    </row>
    <row r="5" spans="1:2" ht="15.6" x14ac:dyDescent="0.3">
      <c r="A5" s="33" t="s">
        <v>4</v>
      </c>
      <c r="B5" s="32">
        <v>35367</v>
      </c>
    </row>
    <row r="6" spans="1:2" ht="21" x14ac:dyDescent="0.4">
      <c r="A6" s="21" t="s">
        <v>60</v>
      </c>
      <c r="B6" s="18">
        <v>160105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90EB-1164-465A-B190-F49A482A0883}">
  <dimension ref="A1:C5"/>
  <sheetViews>
    <sheetView workbookViewId="0">
      <selection activeCell="A27" sqref="A27"/>
    </sheetView>
  </sheetViews>
  <sheetFormatPr defaultRowHeight="14.4" x14ac:dyDescent="0.3"/>
  <cols>
    <col min="1" max="1" width="18.44140625" style="13" customWidth="1"/>
    <col min="2" max="2" width="21.33203125" style="13" customWidth="1"/>
    <col min="3" max="3" width="26.5546875" style="13" customWidth="1"/>
    <col min="4" max="16384" width="8.88671875" style="13"/>
  </cols>
  <sheetData>
    <row r="1" spans="1:3" x14ac:dyDescent="0.3">
      <c r="A1" s="13" t="s">
        <v>616</v>
      </c>
      <c r="B1" s="13" t="s">
        <v>617</v>
      </c>
      <c r="C1" s="13" t="s">
        <v>618</v>
      </c>
    </row>
    <row r="2" spans="1:3" x14ac:dyDescent="0.3">
      <c r="A2" s="13" t="s">
        <v>2</v>
      </c>
      <c r="B2" s="13">
        <v>629</v>
      </c>
      <c r="C2" s="13">
        <v>5904</v>
      </c>
    </row>
    <row r="3" spans="1:3" x14ac:dyDescent="0.3">
      <c r="A3" s="13" t="s">
        <v>1</v>
      </c>
      <c r="B3" s="13">
        <v>1541</v>
      </c>
      <c r="C3" s="13">
        <v>9566</v>
      </c>
    </row>
    <row r="4" spans="1:3" x14ac:dyDescent="0.3">
      <c r="A4" s="13" t="s">
        <v>3</v>
      </c>
      <c r="B4" s="13">
        <v>543</v>
      </c>
      <c r="C4" s="13">
        <v>26752</v>
      </c>
    </row>
    <row r="5" spans="1:3" x14ac:dyDescent="0.3">
      <c r="A5" s="13" t="s">
        <v>4</v>
      </c>
      <c r="B5" s="13">
        <v>358</v>
      </c>
      <c r="C5" s="13">
        <v>30671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1EF8-F5AF-483F-87E9-06C59A92C16A}">
  <dimension ref="A1"/>
  <sheetViews>
    <sheetView workbookViewId="0">
      <selection activeCell="K21" sqref="K21"/>
    </sheetView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2FBF-C6FE-409D-ADD5-BE4B6EE1DB29}">
  <dimension ref="A1:B7"/>
  <sheetViews>
    <sheetView workbookViewId="0">
      <selection activeCell="E12" sqref="E12"/>
    </sheetView>
  </sheetViews>
  <sheetFormatPr defaultRowHeight="14.4" x14ac:dyDescent="0.3"/>
  <cols>
    <col min="1" max="1" width="15.77734375" style="15" bestFit="1" customWidth="1"/>
    <col min="2" max="3" width="22.77734375" style="15" bestFit="1" customWidth="1"/>
    <col min="4" max="5" width="8.88671875" style="15"/>
    <col min="6" max="6" width="15.77734375" style="15" bestFit="1" customWidth="1"/>
    <col min="7" max="7" width="21.33203125" style="15" bestFit="1" customWidth="1"/>
    <col min="8" max="16384" width="8.88671875" style="15"/>
  </cols>
  <sheetData>
    <row r="1" spans="1:2" ht="21" x14ac:dyDescent="0.4">
      <c r="A1" s="18" t="s">
        <v>632</v>
      </c>
      <c r="B1" s="18" t="s">
        <v>633</v>
      </c>
    </row>
    <row r="2" spans="1:2" x14ac:dyDescent="0.3">
      <c r="A2" s="17" t="s">
        <v>137</v>
      </c>
      <c r="B2" s="15">
        <v>80</v>
      </c>
    </row>
    <row r="3" spans="1:2" x14ac:dyDescent="0.3">
      <c r="A3" s="17" t="s">
        <v>87</v>
      </c>
      <c r="B3" s="15">
        <v>83</v>
      </c>
    </row>
    <row r="4" spans="1:2" x14ac:dyDescent="0.3">
      <c r="A4" s="17" t="s">
        <v>81</v>
      </c>
      <c r="B4" s="15">
        <v>97</v>
      </c>
    </row>
    <row r="5" spans="1:2" x14ac:dyDescent="0.3">
      <c r="A5" s="17" t="s">
        <v>104</v>
      </c>
      <c r="B5" s="15">
        <v>92</v>
      </c>
    </row>
    <row r="6" spans="1:2" x14ac:dyDescent="0.3">
      <c r="A6" s="17" t="s">
        <v>118</v>
      </c>
      <c r="B6" s="15">
        <v>104</v>
      </c>
    </row>
    <row r="7" spans="1:2" ht="21" x14ac:dyDescent="0.4">
      <c r="A7" s="21" t="s">
        <v>60</v>
      </c>
      <c r="B7" s="18">
        <v>456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C134-20AF-487C-B739-BFEB35C6E17B}">
  <dimension ref="A1:D11"/>
  <sheetViews>
    <sheetView workbookViewId="0"/>
  </sheetViews>
  <sheetFormatPr defaultRowHeight="14.4" x14ac:dyDescent="0.3"/>
  <cols>
    <col min="1" max="1" width="11.6640625" customWidth="1"/>
    <col min="2" max="2" width="17.5546875" customWidth="1"/>
    <col min="3" max="3" width="15.5546875" customWidth="1"/>
    <col min="4" max="4" width="19.109375" customWidth="1"/>
  </cols>
  <sheetData>
    <row r="1" spans="1:4" x14ac:dyDescent="0.3">
      <c r="A1" s="35" t="s">
        <v>64</v>
      </c>
      <c r="B1" s="36" t="s">
        <v>63</v>
      </c>
      <c r="C1" s="36" t="s">
        <v>66</v>
      </c>
      <c r="D1" s="37" t="s">
        <v>76</v>
      </c>
    </row>
    <row r="2" spans="1:4" x14ac:dyDescent="0.3">
      <c r="A2" s="38" t="s">
        <v>495</v>
      </c>
      <c r="B2" s="39" t="s">
        <v>2</v>
      </c>
      <c r="C2" s="39" t="s">
        <v>94</v>
      </c>
      <c r="D2" s="40">
        <v>1.8129251700680271</v>
      </c>
    </row>
    <row r="3" spans="1:4" x14ac:dyDescent="0.3">
      <c r="A3" s="38" t="s">
        <v>225</v>
      </c>
      <c r="B3" s="39" t="s">
        <v>2</v>
      </c>
      <c r="C3" s="39" t="s">
        <v>79</v>
      </c>
      <c r="D3" s="40">
        <v>0.86601941747572797</v>
      </c>
    </row>
    <row r="4" spans="1:4" x14ac:dyDescent="0.3">
      <c r="A4" s="38" t="s">
        <v>512</v>
      </c>
      <c r="B4" s="39" t="s">
        <v>3</v>
      </c>
      <c r="C4" s="39" t="s">
        <v>94</v>
      </c>
      <c r="D4" s="40">
        <v>0.7168674698795181</v>
      </c>
    </row>
    <row r="5" spans="1:4" x14ac:dyDescent="0.3">
      <c r="A5" s="38" t="s">
        <v>433</v>
      </c>
      <c r="B5" s="39" t="s">
        <v>2</v>
      </c>
      <c r="C5" s="39" t="s">
        <v>129</v>
      </c>
      <c r="D5" s="40">
        <v>0.70387596899224802</v>
      </c>
    </row>
    <row r="6" spans="1:4" x14ac:dyDescent="0.3">
      <c r="A6" s="41" t="s">
        <v>427</v>
      </c>
      <c r="B6" s="42" t="s">
        <v>2</v>
      </c>
      <c r="C6" s="42" t="s">
        <v>79</v>
      </c>
      <c r="D6" s="43">
        <v>0.6508215962441315</v>
      </c>
    </row>
    <row r="7" spans="1:4" x14ac:dyDescent="0.3">
      <c r="A7" s="38" t="s">
        <v>233</v>
      </c>
      <c r="B7" s="39" t="s">
        <v>3</v>
      </c>
      <c r="C7" s="39" t="s">
        <v>102</v>
      </c>
      <c r="D7" s="40">
        <v>0.53773584905660377</v>
      </c>
    </row>
    <row r="8" spans="1:4" x14ac:dyDescent="0.3">
      <c r="A8" s="38" t="s">
        <v>560</v>
      </c>
      <c r="B8" s="39" t="s">
        <v>3</v>
      </c>
      <c r="C8" s="39" t="s">
        <v>109</v>
      </c>
      <c r="D8" s="40">
        <v>0.53389830508474578</v>
      </c>
    </row>
    <row r="9" spans="1:4" x14ac:dyDescent="0.3">
      <c r="A9" s="41" t="s">
        <v>376</v>
      </c>
      <c r="B9" s="42" t="s">
        <v>4</v>
      </c>
      <c r="C9" s="42" t="s">
        <v>102</v>
      </c>
      <c r="D9" s="43">
        <v>0.50192307692307692</v>
      </c>
    </row>
    <row r="10" spans="1:4" x14ac:dyDescent="0.3">
      <c r="A10" s="38" t="s">
        <v>482</v>
      </c>
      <c r="B10" s="39" t="s">
        <v>4</v>
      </c>
      <c r="C10" s="39" t="s">
        <v>109</v>
      </c>
      <c r="D10" s="40">
        <v>0.48518407662376534</v>
      </c>
    </row>
    <row r="11" spans="1:4" x14ac:dyDescent="0.3">
      <c r="A11" s="38" t="s">
        <v>248</v>
      </c>
      <c r="B11" s="39" t="s">
        <v>1</v>
      </c>
      <c r="C11" s="39" t="s">
        <v>129</v>
      </c>
      <c r="D11" s="40">
        <v>0.38274706867671693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3E89-B78B-4784-92A9-D88C61B1941A}">
  <dimension ref="A1:C7"/>
  <sheetViews>
    <sheetView workbookViewId="0">
      <selection activeCell="A4" sqref="A4:C4"/>
    </sheetView>
  </sheetViews>
  <sheetFormatPr defaultRowHeight="14.4" x14ac:dyDescent="0.3"/>
  <cols>
    <col min="1" max="1" width="15.88671875" style="15" bestFit="1" customWidth="1"/>
    <col min="2" max="2" width="24.77734375" style="15" bestFit="1" customWidth="1"/>
    <col min="3" max="3" width="12.5546875" style="15" bestFit="1" customWidth="1"/>
    <col min="4" max="7" width="8.88671875" style="15"/>
    <col min="8" max="8" width="15.77734375" style="15" bestFit="1" customWidth="1"/>
    <col min="9" max="9" width="25.77734375" style="15" bestFit="1" customWidth="1"/>
    <col min="10" max="16384" width="8.88671875" style="15"/>
  </cols>
  <sheetData>
    <row r="1" spans="1:3" ht="21" x14ac:dyDescent="0.4">
      <c r="A1" s="18" t="s">
        <v>632</v>
      </c>
      <c r="B1" s="15" t="s">
        <v>634</v>
      </c>
      <c r="C1" s="15" t="s">
        <v>635</v>
      </c>
    </row>
    <row r="2" spans="1:3" x14ac:dyDescent="0.3">
      <c r="A2" s="17" t="s">
        <v>137</v>
      </c>
      <c r="B2" s="34">
        <v>3408.65</v>
      </c>
      <c r="C2" s="34">
        <v>80</v>
      </c>
    </row>
    <row r="3" spans="1:3" x14ac:dyDescent="0.3">
      <c r="A3" s="17" t="s">
        <v>87</v>
      </c>
      <c r="B3" s="34">
        <v>3470.3253012048194</v>
      </c>
      <c r="C3" s="34">
        <v>83</v>
      </c>
    </row>
    <row r="4" spans="1:3" x14ac:dyDescent="0.3">
      <c r="A4" s="81" t="s">
        <v>81</v>
      </c>
      <c r="B4" s="82">
        <v>3326.9896907216494</v>
      </c>
      <c r="C4" s="82">
        <v>97</v>
      </c>
    </row>
    <row r="5" spans="1:3" x14ac:dyDescent="0.3">
      <c r="A5" s="17" t="s">
        <v>104</v>
      </c>
      <c r="B5" s="34">
        <v>3383.195652173913</v>
      </c>
      <c r="C5" s="34">
        <v>92</v>
      </c>
    </row>
    <row r="6" spans="1:3" x14ac:dyDescent="0.3">
      <c r="A6" s="17" t="s">
        <v>118</v>
      </c>
      <c r="B6" s="34">
        <v>3662.4711538461538</v>
      </c>
      <c r="C6" s="34">
        <v>104</v>
      </c>
    </row>
    <row r="7" spans="1:3" ht="21" x14ac:dyDescent="0.4">
      <c r="A7" s="21" t="s">
        <v>60</v>
      </c>
      <c r="B7" s="22">
        <v>3455.2587719298244</v>
      </c>
      <c r="C7" s="22">
        <v>456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B71A-683B-4686-A8F9-7C08955BE8E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BA31-A363-439F-9557-0726C8F88116}">
  <dimension ref="A3:G18"/>
  <sheetViews>
    <sheetView workbookViewId="0">
      <selection activeCell="E17" sqref="E17"/>
    </sheetView>
  </sheetViews>
  <sheetFormatPr defaultRowHeight="14.4" x14ac:dyDescent="0.3"/>
  <cols>
    <col min="1" max="1" width="15.77734375" style="15" customWidth="1"/>
    <col min="2" max="2" width="22.5546875" style="15" customWidth="1"/>
    <col min="3" max="3" width="21.88671875" style="15" customWidth="1"/>
    <col min="4" max="4" width="12.109375" style="15" bestFit="1" customWidth="1"/>
    <col min="5" max="5" width="16.33203125" style="15" bestFit="1" customWidth="1"/>
    <col min="6" max="6" width="11.5546875" style="15" bestFit="1" customWidth="1"/>
    <col min="7" max="7" width="15.77734375" style="15" bestFit="1" customWidth="1"/>
    <col min="8" max="16384" width="8.88671875" style="15"/>
  </cols>
  <sheetData>
    <row r="3" spans="1:7" x14ac:dyDescent="0.3">
      <c r="A3" s="15" t="s">
        <v>636</v>
      </c>
      <c r="B3" s="15" t="s">
        <v>637</v>
      </c>
      <c r="C3" s="15" t="s">
        <v>638</v>
      </c>
      <c r="D3" s="15" t="s">
        <v>639</v>
      </c>
      <c r="E3" s="15" t="s">
        <v>640</v>
      </c>
      <c r="F3" s="15" t="s">
        <v>625</v>
      </c>
      <c r="G3" s="15" t="s">
        <v>641</v>
      </c>
    </row>
    <row r="4" spans="1:7" x14ac:dyDescent="0.3">
      <c r="A4" s="17" t="s">
        <v>88</v>
      </c>
      <c r="B4" s="15">
        <v>2886292</v>
      </c>
      <c r="C4" s="34">
        <v>34774.602409638552</v>
      </c>
      <c r="D4" s="15">
        <v>12376</v>
      </c>
      <c r="E4" s="34">
        <v>149.10843373493975</v>
      </c>
      <c r="F4" s="15">
        <v>232785</v>
      </c>
      <c r="G4" s="34">
        <v>2804.6385542168673</v>
      </c>
    </row>
    <row r="5" spans="1:7" x14ac:dyDescent="0.3">
      <c r="A5" s="17" t="s">
        <v>82</v>
      </c>
      <c r="B5" s="15">
        <v>2788367</v>
      </c>
      <c r="C5" s="34">
        <v>38727.319444444445</v>
      </c>
      <c r="D5" s="15">
        <v>11191</v>
      </c>
      <c r="E5" s="34">
        <v>155.43055555555554</v>
      </c>
      <c r="F5" s="15">
        <v>212431</v>
      </c>
      <c r="G5" s="34">
        <v>2950.4305555555557</v>
      </c>
    </row>
    <row r="6" spans="1:7" x14ac:dyDescent="0.3">
      <c r="A6" s="17" t="s">
        <v>99</v>
      </c>
      <c r="B6" s="15">
        <v>2611652</v>
      </c>
      <c r="C6" s="34">
        <v>33482.717948717946</v>
      </c>
      <c r="D6" s="15">
        <v>12464</v>
      </c>
      <c r="E6" s="34">
        <v>159.7948717948718</v>
      </c>
      <c r="F6" s="15">
        <v>198666</v>
      </c>
      <c r="G6" s="34">
        <v>2547</v>
      </c>
    </row>
    <row r="7" spans="1:7" x14ac:dyDescent="0.3">
      <c r="A7" s="17" t="s">
        <v>115</v>
      </c>
      <c r="B7" s="15">
        <v>2107842</v>
      </c>
      <c r="C7" s="34">
        <v>31460.328358208953</v>
      </c>
      <c r="D7" s="15">
        <v>9335</v>
      </c>
      <c r="E7" s="34">
        <v>139.32835820895522</v>
      </c>
      <c r="F7" s="15">
        <v>176109</v>
      </c>
      <c r="G7" s="34">
        <v>2628.4925373134329</v>
      </c>
    </row>
    <row r="8" spans="1:7" x14ac:dyDescent="0.3">
      <c r="A8" s="17" t="s">
        <v>60</v>
      </c>
      <c r="B8" s="15">
        <v>10394153</v>
      </c>
      <c r="C8" s="34">
        <v>34647.176666666666</v>
      </c>
      <c r="D8" s="15">
        <v>45366</v>
      </c>
      <c r="E8" s="34">
        <v>151.22</v>
      </c>
      <c r="F8" s="15">
        <v>819991</v>
      </c>
      <c r="G8" s="34">
        <v>2733.3033333333333</v>
      </c>
    </row>
    <row r="13" spans="1:7" x14ac:dyDescent="0.3">
      <c r="A13" s="15" t="s">
        <v>59</v>
      </c>
      <c r="B13" s="15" t="s">
        <v>630</v>
      </c>
    </row>
    <row r="14" spans="1:7" x14ac:dyDescent="0.3">
      <c r="A14" s="83" t="s">
        <v>88</v>
      </c>
      <c r="B14" s="84">
        <v>295774</v>
      </c>
    </row>
    <row r="15" spans="1:7" x14ac:dyDescent="0.3">
      <c r="A15" s="17" t="s">
        <v>82</v>
      </c>
      <c r="B15" s="15">
        <v>265044</v>
      </c>
    </row>
    <row r="16" spans="1:7" x14ac:dyDescent="0.3">
      <c r="A16" s="17" t="s">
        <v>99</v>
      </c>
      <c r="B16" s="15">
        <v>256339</v>
      </c>
    </row>
    <row r="17" spans="1:2" x14ac:dyDescent="0.3">
      <c r="A17" s="17" t="s">
        <v>115</v>
      </c>
      <c r="B17" s="15">
        <v>220610</v>
      </c>
    </row>
    <row r="18" spans="1:2" x14ac:dyDescent="0.3">
      <c r="A18" s="17" t="s">
        <v>60</v>
      </c>
      <c r="B18" s="15">
        <v>1037767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2446-B4D2-476B-BC92-41D1AD04CF05}">
  <dimension ref="A1:D6"/>
  <sheetViews>
    <sheetView workbookViewId="0">
      <selection activeCell="C17" sqref="C17"/>
    </sheetView>
  </sheetViews>
  <sheetFormatPr defaultRowHeight="14.4" x14ac:dyDescent="0.3"/>
  <cols>
    <col min="1" max="1" width="19.33203125" style="15" customWidth="1"/>
    <col min="2" max="2" width="43.77734375" style="15" customWidth="1"/>
    <col min="3" max="3" width="45.44140625" style="15" customWidth="1"/>
    <col min="4" max="4" width="30.6640625" style="15" customWidth="1"/>
    <col min="5" max="16384" width="8.88671875" style="15"/>
  </cols>
  <sheetData>
    <row r="1" spans="1:4" x14ac:dyDescent="0.3">
      <c r="A1" s="15" t="s">
        <v>658</v>
      </c>
      <c r="B1" s="15" t="s">
        <v>659</v>
      </c>
      <c r="C1" s="15" t="s">
        <v>660</v>
      </c>
      <c r="D1" s="15" t="s">
        <v>661</v>
      </c>
    </row>
    <row r="2" spans="1:4" x14ac:dyDescent="0.3">
      <c r="A2" s="15" t="s">
        <v>137</v>
      </c>
      <c r="B2" s="15">
        <v>6.4837500000000006</v>
      </c>
      <c r="C2" s="15">
        <v>6.5200000000000005</v>
      </c>
      <c r="D2" s="15">
        <v>-3.6249999999999893E-2</v>
      </c>
    </row>
    <row r="3" spans="1:4" x14ac:dyDescent="0.3">
      <c r="A3" s="15" t="s">
        <v>87</v>
      </c>
      <c r="B3" s="15">
        <v>5.8125</v>
      </c>
      <c r="C3" s="15">
        <v>5.8929999999999998</v>
      </c>
      <c r="D3" s="15">
        <v>-8.0499999999999794E-2</v>
      </c>
    </row>
    <row r="4" spans="1:4" x14ac:dyDescent="0.3">
      <c r="A4" s="15" t="s">
        <v>81</v>
      </c>
      <c r="B4" s="15">
        <v>5.0920000000000005</v>
      </c>
      <c r="C4" s="15">
        <v>4.78</v>
      </c>
      <c r="D4" s="15">
        <v>0.31200000000000028</v>
      </c>
    </row>
    <row r="5" spans="1:4" x14ac:dyDescent="0.3">
      <c r="A5" s="15" t="s">
        <v>104</v>
      </c>
      <c r="B5" s="15">
        <v>5.4010000000000007</v>
      </c>
      <c r="C5" s="15">
        <v>4.6129999999999995</v>
      </c>
      <c r="D5" s="15">
        <v>0.78800000000000114</v>
      </c>
    </row>
    <row r="6" spans="1:4" x14ac:dyDescent="0.3">
      <c r="A6" s="15" t="s">
        <v>118</v>
      </c>
      <c r="B6" s="15">
        <v>6.2649999999999997</v>
      </c>
      <c r="C6" s="15">
        <v>5.5540000000000003</v>
      </c>
      <c r="D6" s="15">
        <v>0.71099999999999941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35E4-704E-4540-AF5F-C25ABFAFF7BC}">
  <dimension ref="A1:I5"/>
  <sheetViews>
    <sheetView workbookViewId="0">
      <selection activeCell="G17" sqref="G17"/>
    </sheetView>
  </sheetViews>
  <sheetFormatPr defaultRowHeight="14.4" x14ac:dyDescent="0.3"/>
  <cols>
    <col min="1" max="1" width="17.88671875" style="15" customWidth="1"/>
    <col min="2" max="2" width="16.77734375" style="15" customWidth="1"/>
    <col min="3" max="3" width="18.77734375" style="15" customWidth="1"/>
    <col min="4" max="4" width="28.6640625" style="15" customWidth="1"/>
    <col min="5" max="5" width="17.109375" style="15" customWidth="1"/>
    <col min="6" max="6" width="19.88671875" style="15" customWidth="1"/>
    <col min="7" max="7" width="26" style="15" customWidth="1"/>
    <col min="8" max="8" width="20.88671875" style="15" customWidth="1"/>
    <col min="9" max="9" width="16.77734375" style="15" customWidth="1"/>
    <col min="10" max="16384" width="8.88671875" style="15"/>
  </cols>
  <sheetData>
    <row r="1" spans="1:9" x14ac:dyDescent="0.3">
      <c r="A1" s="15" t="s">
        <v>75</v>
      </c>
      <c r="B1" s="15" t="s">
        <v>642</v>
      </c>
      <c r="C1" s="15" t="s">
        <v>643</v>
      </c>
      <c r="D1" s="15" t="s">
        <v>644</v>
      </c>
      <c r="E1" s="15" t="s">
        <v>645</v>
      </c>
      <c r="F1" s="15" t="s">
        <v>646</v>
      </c>
      <c r="G1" s="15" t="s">
        <v>647</v>
      </c>
      <c r="H1" s="15" t="s">
        <v>648</v>
      </c>
      <c r="I1" s="15" t="s">
        <v>649</v>
      </c>
    </row>
    <row r="2" spans="1:9" x14ac:dyDescent="0.3">
      <c r="A2" s="15" t="s">
        <v>88</v>
      </c>
      <c r="B2" s="15">
        <v>45453</v>
      </c>
      <c r="C2" s="15">
        <v>45478</v>
      </c>
      <c r="D2" s="15" t="s">
        <v>650</v>
      </c>
      <c r="E2" s="15">
        <v>777.375</v>
      </c>
      <c r="F2" s="15">
        <v>1024.5</v>
      </c>
      <c r="G2" s="15">
        <v>247.125</v>
      </c>
      <c r="H2" s="15">
        <v>1.3729166666666666</v>
      </c>
      <c r="I2" s="15" t="s">
        <v>651</v>
      </c>
    </row>
    <row r="3" spans="1:9" x14ac:dyDescent="0.3">
      <c r="A3" s="15" t="s">
        <v>82</v>
      </c>
      <c r="B3" s="15">
        <v>45505</v>
      </c>
      <c r="C3" s="15">
        <v>45535</v>
      </c>
      <c r="D3" s="15" t="s">
        <v>652</v>
      </c>
      <c r="E3" s="15">
        <v>616.375</v>
      </c>
      <c r="F3" s="15">
        <v>555.5</v>
      </c>
      <c r="G3" s="15">
        <v>-60.875</v>
      </c>
      <c r="H3" s="15">
        <v>-0.38046875000000002</v>
      </c>
      <c r="I3" s="15" t="s">
        <v>653</v>
      </c>
    </row>
    <row r="4" spans="1:9" x14ac:dyDescent="0.3">
      <c r="A4" s="15" t="s">
        <v>99</v>
      </c>
      <c r="B4" s="15">
        <v>45570</v>
      </c>
      <c r="C4" s="15">
        <v>45601</v>
      </c>
      <c r="D4" s="15" t="s">
        <v>654</v>
      </c>
      <c r="E4" s="15">
        <v>864.3</v>
      </c>
      <c r="F4" s="15">
        <v>621</v>
      </c>
      <c r="G4" s="15">
        <v>-243.29999999999995</v>
      </c>
      <c r="H4" s="15">
        <v>-1.1059090909090907</v>
      </c>
      <c r="I4" s="15" t="s">
        <v>655</v>
      </c>
    </row>
    <row r="5" spans="1:9" x14ac:dyDescent="0.3">
      <c r="A5" s="15" t="s">
        <v>115</v>
      </c>
      <c r="B5" s="15">
        <v>45667</v>
      </c>
      <c r="C5" s="15">
        <v>45698</v>
      </c>
      <c r="D5" s="15" t="s">
        <v>656</v>
      </c>
      <c r="E5" s="15">
        <v>987.5</v>
      </c>
      <c r="F5" s="15">
        <v>1261.7</v>
      </c>
      <c r="G5" s="15">
        <v>274.20000000000005</v>
      </c>
      <c r="H5" s="15">
        <v>1.3710000000000002</v>
      </c>
      <c r="I5" s="15" t="s">
        <v>657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B79F-947C-446A-829A-F6DF1929DE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DA5C-C689-4BD8-8EC1-BB0D66ACC03B}">
  <dimension ref="A1:U51"/>
  <sheetViews>
    <sheetView topLeftCell="B1" zoomScale="77" workbookViewId="0">
      <selection activeCell="BI9" sqref="BI9"/>
    </sheetView>
  </sheetViews>
  <sheetFormatPr defaultRowHeight="14.4" x14ac:dyDescent="0.3"/>
  <cols>
    <col min="1" max="1" width="23.33203125" customWidth="1"/>
    <col min="2" max="2" width="15.5546875" customWidth="1"/>
    <col min="3" max="3" width="11.33203125" customWidth="1"/>
    <col min="5" max="5" width="10.33203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1" x14ac:dyDescent="0.3">
      <c r="A2" s="2" t="s">
        <v>5</v>
      </c>
      <c r="B2">
        <v>1002</v>
      </c>
      <c r="C2">
        <v>1047</v>
      </c>
      <c r="D2">
        <v>415</v>
      </c>
      <c r="E2">
        <v>1090</v>
      </c>
    </row>
    <row r="3" spans="1:21" x14ac:dyDescent="0.3">
      <c r="A3" s="2" t="s">
        <v>6</v>
      </c>
      <c r="B3">
        <v>1283</v>
      </c>
      <c r="C3">
        <v>517</v>
      </c>
      <c r="D3">
        <v>186</v>
      </c>
      <c r="E3">
        <v>994</v>
      </c>
    </row>
    <row r="4" spans="1:21" x14ac:dyDescent="0.3">
      <c r="A4" s="2" t="s">
        <v>7</v>
      </c>
      <c r="B4">
        <v>1382</v>
      </c>
      <c r="C4">
        <v>893</v>
      </c>
      <c r="D4">
        <v>1295</v>
      </c>
      <c r="E4">
        <v>337</v>
      </c>
    </row>
    <row r="5" spans="1:21" x14ac:dyDescent="0.3">
      <c r="A5" s="2" t="s">
        <v>8</v>
      </c>
      <c r="B5">
        <v>1670</v>
      </c>
      <c r="C5">
        <v>629</v>
      </c>
      <c r="D5">
        <v>835</v>
      </c>
      <c r="E5">
        <v>-123</v>
      </c>
    </row>
    <row r="6" spans="1:21" x14ac:dyDescent="0.3">
      <c r="A6" s="2" t="s">
        <v>9</v>
      </c>
      <c r="B6">
        <v>64</v>
      </c>
      <c r="C6">
        <v>-219</v>
      </c>
      <c r="D6">
        <v>1357</v>
      </c>
      <c r="E6">
        <v>91</v>
      </c>
    </row>
    <row r="7" spans="1:21" x14ac:dyDescent="0.3">
      <c r="A7" s="2" t="s">
        <v>10</v>
      </c>
      <c r="B7">
        <v>309</v>
      </c>
      <c r="C7">
        <v>1672</v>
      </c>
      <c r="D7">
        <v>547</v>
      </c>
      <c r="E7">
        <v>514</v>
      </c>
    </row>
    <row r="8" spans="1:21" ht="33.6" x14ac:dyDescent="0.65">
      <c r="A8" s="2" t="s">
        <v>11</v>
      </c>
      <c r="B8">
        <v>-164</v>
      </c>
      <c r="C8">
        <v>1845</v>
      </c>
      <c r="D8">
        <v>429</v>
      </c>
      <c r="E8">
        <v>160</v>
      </c>
      <c r="R8" s="14" t="s">
        <v>619</v>
      </c>
      <c r="S8" s="14"/>
      <c r="T8" s="14"/>
      <c r="U8" s="14"/>
    </row>
    <row r="9" spans="1:21" x14ac:dyDescent="0.3">
      <c r="A9" s="2" t="s">
        <v>12</v>
      </c>
      <c r="B9">
        <v>961</v>
      </c>
      <c r="C9">
        <v>159</v>
      </c>
      <c r="D9">
        <v>1316</v>
      </c>
      <c r="E9">
        <v>317</v>
      </c>
    </row>
    <row r="10" spans="1:21" x14ac:dyDescent="0.3">
      <c r="A10" s="2" t="s">
        <v>13</v>
      </c>
      <c r="B10">
        <v>-318</v>
      </c>
      <c r="C10">
        <v>541</v>
      </c>
      <c r="D10">
        <v>1495</v>
      </c>
      <c r="E10">
        <v>475</v>
      </c>
    </row>
    <row r="11" spans="1:21" x14ac:dyDescent="0.3">
      <c r="A11" s="2" t="s">
        <v>14</v>
      </c>
      <c r="B11">
        <v>-197</v>
      </c>
      <c r="C11">
        <v>352</v>
      </c>
      <c r="D11">
        <v>328</v>
      </c>
      <c r="E11">
        <v>319</v>
      </c>
    </row>
    <row r="12" spans="1:21" x14ac:dyDescent="0.3">
      <c r="A12" s="2" t="s">
        <v>15</v>
      </c>
      <c r="B12">
        <v>1334</v>
      </c>
      <c r="C12">
        <v>1325</v>
      </c>
      <c r="D12">
        <v>37</v>
      </c>
      <c r="E12">
        <v>1032</v>
      </c>
    </row>
    <row r="13" spans="1:21" x14ac:dyDescent="0.3">
      <c r="A13" s="2" t="s">
        <v>16</v>
      </c>
      <c r="B13">
        <v>1058</v>
      </c>
      <c r="C13">
        <v>76</v>
      </c>
      <c r="D13">
        <v>1665</v>
      </c>
      <c r="E13">
        <v>190</v>
      </c>
    </row>
    <row r="14" spans="1:21" x14ac:dyDescent="0.3">
      <c r="A14" s="2" t="s">
        <v>17</v>
      </c>
      <c r="B14">
        <v>37</v>
      </c>
      <c r="C14">
        <v>1609</v>
      </c>
      <c r="D14">
        <v>1229</v>
      </c>
      <c r="E14">
        <v>28</v>
      </c>
    </row>
    <row r="15" spans="1:21" x14ac:dyDescent="0.3">
      <c r="A15" s="2" t="s">
        <v>18</v>
      </c>
      <c r="B15">
        <v>1045</v>
      </c>
      <c r="C15">
        <v>1247</v>
      </c>
      <c r="D15">
        <v>197</v>
      </c>
      <c r="E15">
        <v>333</v>
      </c>
    </row>
    <row r="16" spans="1:21" x14ac:dyDescent="0.3">
      <c r="A16" s="2" t="s">
        <v>19</v>
      </c>
      <c r="B16">
        <v>1428</v>
      </c>
      <c r="C16">
        <v>1572</v>
      </c>
      <c r="D16">
        <v>260</v>
      </c>
      <c r="E16">
        <v>1100</v>
      </c>
    </row>
    <row r="17" spans="1:5" x14ac:dyDescent="0.3">
      <c r="A17" s="2" t="s">
        <v>20</v>
      </c>
      <c r="B17">
        <v>98</v>
      </c>
      <c r="C17">
        <v>377</v>
      </c>
      <c r="D17">
        <v>1125</v>
      </c>
      <c r="E17">
        <v>-32</v>
      </c>
    </row>
    <row r="18" spans="1:5" x14ac:dyDescent="0.3">
      <c r="A18" s="2" t="s">
        <v>21</v>
      </c>
      <c r="B18">
        <v>-19</v>
      </c>
      <c r="C18">
        <v>666</v>
      </c>
      <c r="D18">
        <v>1680</v>
      </c>
      <c r="E18">
        <v>1006</v>
      </c>
    </row>
    <row r="19" spans="1:5" x14ac:dyDescent="0.3">
      <c r="A19" s="2" t="s">
        <v>22</v>
      </c>
      <c r="B19">
        <v>-179</v>
      </c>
      <c r="C19">
        <v>1025</v>
      </c>
      <c r="D19">
        <v>599</v>
      </c>
      <c r="E19">
        <v>1706</v>
      </c>
    </row>
    <row r="20" spans="1:5" x14ac:dyDescent="0.3">
      <c r="A20" s="2" t="s">
        <v>23</v>
      </c>
      <c r="B20">
        <v>1662</v>
      </c>
      <c r="C20">
        <v>1872</v>
      </c>
      <c r="D20">
        <v>107</v>
      </c>
      <c r="E20">
        <v>118</v>
      </c>
    </row>
    <row r="21" spans="1:5" x14ac:dyDescent="0.3">
      <c r="A21" s="2" t="s">
        <v>24</v>
      </c>
      <c r="B21">
        <v>285</v>
      </c>
      <c r="C21">
        <v>1224</v>
      </c>
      <c r="D21">
        <v>-20</v>
      </c>
      <c r="E21">
        <v>367</v>
      </c>
    </row>
    <row r="22" spans="1:5" x14ac:dyDescent="0.3">
      <c r="A22" s="2" t="s">
        <v>25</v>
      </c>
      <c r="B22">
        <v>439</v>
      </c>
      <c r="C22">
        <v>262</v>
      </c>
      <c r="D22">
        <v>636</v>
      </c>
      <c r="E22">
        <v>1484</v>
      </c>
    </row>
    <row r="23" spans="1:5" x14ac:dyDescent="0.3">
      <c r="A23" s="2" t="s">
        <v>26</v>
      </c>
      <c r="B23">
        <v>386</v>
      </c>
      <c r="C23">
        <v>576</v>
      </c>
      <c r="D23">
        <v>37</v>
      </c>
      <c r="E23" s="71">
        <v>1657</v>
      </c>
    </row>
    <row r="24" spans="1:5" x14ac:dyDescent="0.3">
      <c r="A24" s="2" t="s">
        <v>27</v>
      </c>
      <c r="B24">
        <v>540</v>
      </c>
      <c r="C24">
        <v>1397</v>
      </c>
      <c r="D24">
        <v>1603</v>
      </c>
      <c r="E24">
        <v>1044</v>
      </c>
    </row>
    <row r="25" spans="1:5" x14ac:dyDescent="0.3">
      <c r="A25" s="2" t="s">
        <v>28</v>
      </c>
      <c r="B25">
        <v>-106</v>
      </c>
      <c r="C25">
        <v>902</v>
      </c>
      <c r="D25">
        <v>1150</v>
      </c>
      <c r="E25">
        <v>349</v>
      </c>
    </row>
    <row r="26" spans="1:5" x14ac:dyDescent="0.3">
      <c r="A26" s="2" t="s">
        <v>29</v>
      </c>
      <c r="B26">
        <v>72</v>
      </c>
      <c r="C26">
        <v>-49</v>
      </c>
      <c r="D26">
        <v>445</v>
      </c>
      <c r="E26">
        <v>60</v>
      </c>
    </row>
    <row r="27" spans="1:5" x14ac:dyDescent="0.3">
      <c r="A27" s="2" t="s">
        <v>30</v>
      </c>
      <c r="B27">
        <v>1332</v>
      </c>
      <c r="C27">
        <v>1693</v>
      </c>
      <c r="D27">
        <v>98</v>
      </c>
      <c r="E27">
        <v>885</v>
      </c>
    </row>
    <row r="28" spans="1:5" x14ac:dyDescent="0.3">
      <c r="A28" s="2" t="s">
        <v>31</v>
      </c>
      <c r="B28" s="71">
        <v>1706</v>
      </c>
      <c r="C28">
        <v>1625</v>
      </c>
      <c r="D28">
        <v>1173</v>
      </c>
      <c r="E28">
        <v>291</v>
      </c>
    </row>
    <row r="29" spans="1:5" x14ac:dyDescent="0.3">
      <c r="A29" s="2" t="s">
        <v>32</v>
      </c>
      <c r="B29">
        <v>1373</v>
      </c>
      <c r="C29">
        <v>1119</v>
      </c>
      <c r="D29" s="71">
        <v>1727</v>
      </c>
      <c r="E29">
        <v>573</v>
      </c>
    </row>
    <row r="30" spans="1:5" x14ac:dyDescent="0.3">
      <c r="A30" s="2" t="s">
        <v>33</v>
      </c>
      <c r="B30">
        <v>1377</v>
      </c>
      <c r="C30">
        <v>1432</v>
      </c>
      <c r="D30">
        <v>1359</v>
      </c>
      <c r="E30">
        <v>876</v>
      </c>
    </row>
    <row r="31" spans="1:5" x14ac:dyDescent="0.3">
      <c r="A31" s="2" t="s">
        <v>34</v>
      </c>
      <c r="B31">
        <v>730</v>
      </c>
      <c r="C31">
        <v>684</v>
      </c>
      <c r="D31">
        <v>911</v>
      </c>
      <c r="E31">
        <v>1589</v>
      </c>
    </row>
    <row r="32" spans="1:5" x14ac:dyDescent="0.3">
      <c r="A32" s="2" t="s">
        <v>35</v>
      </c>
      <c r="B32">
        <v>1776</v>
      </c>
      <c r="C32">
        <v>1765</v>
      </c>
      <c r="D32">
        <v>1529</v>
      </c>
      <c r="E32">
        <v>1460</v>
      </c>
    </row>
    <row r="33" spans="1:5" x14ac:dyDescent="0.3">
      <c r="A33" s="2" t="s">
        <v>36</v>
      </c>
      <c r="B33">
        <v>620</v>
      </c>
      <c r="C33">
        <v>903</v>
      </c>
      <c r="D33">
        <v>1188</v>
      </c>
      <c r="E33">
        <v>846</v>
      </c>
    </row>
    <row r="34" spans="1:5" x14ac:dyDescent="0.3">
      <c r="A34" s="2" t="s">
        <v>37</v>
      </c>
      <c r="B34">
        <v>298</v>
      </c>
      <c r="C34">
        <v>1722</v>
      </c>
      <c r="D34">
        <v>-144</v>
      </c>
      <c r="E34">
        <v>901</v>
      </c>
    </row>
    <row r="35" spans="1:5" x14ac:dyDescent="0.3">
      <c r="A35" s="2" t="s">
        <v>38</v>
      </c>
      <c r="B35">
        <v>427</v>
      </c>
      <c r="C35">
        <v>1572</v>
      </c>
      <c r="D35">
        <v>891</v>
      </c>
      <c r="E35">
        <v>724</v>
      </c>
    </row>
    <row r="36" spans="1:5" x14ac:dyDescent="0.3">
      <c r="A36" s="2" t="s">
        <v>39</v>
      </c>
      <c r="B36">
        <v>898</v>
      </c>
      <c r="C36">
        <v>-166</v>
      </c>
      <c r="D36">
        <v>1426</v>
      </c>
      <c r="E36">
        <v>1225</v>
      </c>
    </row>
    <row r="37" spans="1:5" x14ac:dyDescent="0.3">
      <c r="A37" s="2" t="s">
        <v>40</v>
      </c>
      <c r="B37">
        <v>748</v>
      </c>
      <c r="C37">
        <v>1080</v>
      </c>
      <c r="D37">
        <v>569</v>
      </c>
      <c r="E37">
        <v>-203</v>
      </c>
    </row>
    <row r="38" spans="1:5" x14ac:dyDescent="0.3">
      <c r="A38" s="2" t="s">
        <v>41</v>
      </c>
      <c r="B38">
        <v>912</v>
      </c>
      <c r="C38">
        <v>1723</v>
      </c>
      <c r="D38">
        <v>1202</v>
      </c>
      <c r="E38">
        <v>1444</v>
      </c>
    </row>
    <row r="39" spans="1:5" x14ac:dyDescent="0.3">
      <c r="A39" s="2" t="s">
        <v>42</v>
      </c>
      <c r="B39">
        <v>1590</v>
      </c>
      <c r="C39">
        <v>965</v>
      </c>
      <c r="D39">
        <v>-37</v>
      </c>
      <c r="E39">
        <v>1175</v>
      </c>
    </row>
    <row r="40" spans="1:5" x14ac:dyDescent="0.3">
      <c r="A40" s="2" t="s">
        <v>43</v>
      </c>
      <c r="B40">
        <v>1707</v>
      </c>
      <c r="C40">
        <v>1375</v>
      </c>
      <c r="D40">
        <v>708</v>
      </c>
      <c r="E40">
        <v>1016</v>
      </c>
    </row>
    <row r="41" spans="1:5" x14ac:dyDescent="0.3">
      <c r="A41" s="2" t="s">
        <v>44</v>
      </c>
      <c r="B41">
        <v>-119</v>
      </c>
      <c r="C41">
        <v>1315</v>
      </c>
      <c r="D41">
        <v>899</v>
      </c>
      <c r="E41">
        <v>315</v>
      </c>
    </row>
    <row r="42" spans="1:5" x14ac:dyDescent="0.3">
      <c r="A42" s="2" t="s">
        <v>45</v>
      </c>
      <c r="B42">
        <v>908</v>
      </c>
      <c r="C42">
        <v>212</v>
      </c>
      <c r="D42">
        <v>1350</v>
      </c>
      <c r="E42">
        <v>1242</v>
      </c>
    </row>
    <row r="43" spans="1:5" x14ac:dyDescent="0.3">
      <c r="A43" s="2" t="s">
        <v>46</v>
      </c>
      <c r="B43">
        <v>1116</v>
      </c>
      <c r="C43">
        <v>680</v>
      </c>
      <c r="D43">
        <v>861</v>
      </c>
      <c r="E43">
        <v>1385</v>
      </c>
    </row>
    <row r="44" spans="1:5" x14ac:dyDescent="0.3">
      <c r="A44" s="2" t="s">
        <v>47</v>
      </c>
      <c r="B44">
        <v>474</v>
      </c>
      <c r="C44">
        <v>461</v>
      </c>
      <c r="D44">
        <v>292</v>
      </c>
      <c r="E44">
        <v>389</v>
      </c>
    </row>
    <row r="45" spans="1:5" x14ac:dyDescent="0.3">
      <c r="A45" s="2" t="s">
        <v>48</v>
      </c>
      <c r="B45">
        <v>514</v>
      </c>
      <c r="C45">
        <v>641</v>
      </c>
      <c r="D45">
        <v>1676</v>
      </c>
      <c r="E45">
        <v>1467</v>
      </c>
    </row>
    <row r="46" spans="1:5" x14ac:dyDescent="0.3">
      <c r="A46" s="2" t="s">
        <v>49</v>
      </c>
      <c r="B46">
        <v>1029</v>
      </c>
      <c r="C46">
        <v>167</v>
      </c>
      <c r="D46">
        <v>1007</v>
      </c>
      <c r="E46">
        <v>209</v>
      </c>
    </row>
    <row r="47" spans="1:5" x14ac:dyDescent="0.3">
      <c r="A47" s="2" t="s">
        <v>50</v>
      </c>
      <c r="B47">
        <v>-175</v>
      </c>
      <c r="C47">
        <v>-160</v>
      </c>
      <c r="D47">
        <v>53</v>
      </c>
      <c r="E47">
        <v>145</v>
      </c>
    </row>
    <row r="48" spans="1:5" x14ac:dyDescent="0.3">
      <c r="A48" s="2" t="s">
        <v>51</v>
      </c>
      <c r="B48">
        <v>1045</v>
      </c>
      <c r="C48">
        <v>603</v>
      </c>
      <c r="D48">
        <v>759</v>
      </c>
      <c r="E48">
        <v>1633</v>
      </c>
    </row>
    <row r="49" spans="1:5" x14ac:dyDescent="0.3">
      <c r="A49" s="2" t="s">
        <v>52</v>
      </c>
      <c r="B49">
        <v>453</v>
      </c>
      <c r="C49">
        <v>1539</v>
      </c>
      <c r="D49">
        <v>948</v>
      </c>
      <c r="E49">
        <v>637</v>
      </c>
    </row>
    <row r="50" spans="1:5" x14ac:dyDescent="0.3">
      <c r="A50" s="2" t="s">
        <v>53</v>
      </c>
      <c r="B50">
        <v>339</v>
      </c>
      <c r="C50" s="71">
        <v>1881</v>
      </c>
      <c r="D50">
        <v>1510</v>
      </c>
      <c r="E50">
        <v>864</v>
      </c>
    </row>
    <row r="51" spans="1:5" x14ac:dyDescent="0.3">
      <c r="A51" s="2" t="s">
        <v>54</v>
      </c>
      <c r="B51">
        <v>407</v>
      </c>
      <c r="C51">
        <v>1656</v>
      </c>
      <c r="D51">
        <v>269</v>
      </c>
      <c r="E51">
        <v>-337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440B-55A1-488F-8EB7-906AD01B2C4C}">
  <dimension ref="A1:L550"/>
  <sheetViews>
    <sheetView workbookViewId="0">
      <selection activeCell="C10" sqref="C10"/>
    </sheetView>
  </sheetViews>
  <sheetFormatPr defaultRowHeight="14.4" x14ac:dyDescent="0.3"/>
  <cols>
    <col min="1" max="1" width="18.109375" customWidth="1"/>
    <col min="2" max="2" width="14.77734375" customWidth="1"/>
    <col min="3" max="3" width="23.109375" customWidth="1"/>
    <col min="5" max="5" width="11.44140625" customWidth="1"/>
  </cols>
  <sheetData>
    <row r="1" spans="1:3" ht="15" thickBot="1" x14ac:dyDescent="0.35">
      <c r="A1" s="3" t="s">
        <v>57</v>
      </c>
      <c r="B1" t="s">
        <v>58</v>
      </c>
      <c r="C1" t="s">
        <v>61</v>
      </c>
    </row>
    <row r="2" spans="1:3" ht="15" thickTop="1" x14ac:dyDescent="0.3">
      <c r="A2" s="4">
        <v>45446</v>
      </c>
      <c r="B2">
        <v>1047</v>
      </c>
      <c r="C2">
        <v>888.5</v>
      </c>
    </row>
    <row r="3" spans="1:3" x14ac:dyDescent="0.3">
      <c r="A3" s="5">
        <v>45446</v>
      </c>
      <c r="B3">
        <v>1002</v>
      </c>
      <c r="C3">
        <v>756</v>
      </c>
    </row>
    <row r="4" spans="1:3" x14ac:dyDescent="0.3">
      <c r="A4" s="4">
        <v>45446</v>
      </c>
      <c r="B4">
        <v>415</v>
      </c>
      <c r="C4">
        <v>826.25</v>
      </c>
    </row>
    <row r="5" spans="1:3" x14ac:dyDescent="0.3">
      <c r="A5" s="5">
        <v>45446</v>
      </c>
      <c r="B5">
        <v>1090</v>
      </c>
      <c r="C5">
        <v>769</v>
      </c>
    </row>
    <row r="6" spans="1:3" x14ac:dyDescent="0.3">
      <c r="A6" s="4">
        <v>45453</v>
      </c>
      <c r="B6">
        <v>517</v>
      </c>
      <c r="C6">
        <v>745</v>
      </c>
    </row>
    <row r="7" spans="1:3" x14ac:dyDescent="0.3">
      <c r="A7" s="5">
        <v>45453</v>
      </c>
      <c r="B7">
        <v>1283</v>
      </c>
      <c r="C7">
        <v>839</v>
      </c>
    </row>
    <row r="8" spans="1:3" x14ac:dyDescent="0.3">
      <c r="A8" s="4">
        <v>45453</v>
      </c>
      <c r="B8">
        <v>186</v>
      </c>
      <c r="C8">
        <v>863.75</v>
      </c>
    </row>
    <row r="9" spans="1:3" x14ac:dyDescent="0.3">
      <c r="A9" s="5">
        <v>45453</v>
      </c>
      <c r="B9">
        <v>994</v>
      </c>
      <c r="C9">
        <v>1141</v>
      </c>
    </row>
    <row r="10" spans="1:3" x14ac:dyDescent="0.3">
      <c r="A10" s="4">
        <v>45460</v>
      </c>
      <c r="B10">
        <v>893</v>
      </c>
      <c r="C10">
        <v>976.75</v>
      </c>
    </row>
    <row r="11" spans="1:3" x14ac:dyDescent="0.3">
      <c r="A11" s="5">
        <v>45460</v>
      </c>
      <c r="B11">
        <v>1382</v>
      </c>
      <c r="C11">
        <v>910.75</v>
      </c>
    </row>
    <row r="12" spans="1:3" x14ac:dyDescent="0.3">
      <c r="A12" s="4">
        <v>45460</v>
      </c>
      <c r="B12">
        <v>1295</v>
      </c>
      <c r="C12">
        <v>982.75</v>
      </c>
    </row>
    <row r="13" spans="1:3" x14ac:dyDescent="0.3">
      <c r="A13" s="5">
        <v>45460</v>
      </c>
      <c r="B13">
        <v>337</v>
      </c>
      <c r="C13">
        <v>867.75</v>
      </c>
    </row>
    <row r="14" spans="1:3" x14ac:dyDescent="0.3">
      <c r="A14" s="4">
        <v>45467</v>
      </c>
      <c r="B14">
        <v>629</v>
      </c>
      <c r="C14">
        <v>752.75</v>
      </c>
    </row>
    <row r="15" spans="1:3" x14ac:dyDescent="0.3">
      <c r="A15" s="5">
        <v>45467</v>
      </c>
      <c r="B15">
        <v>1670</v>
      </c>
      <c r="C15">
        <v>540.75</v>
      </c>
    </row>
    <row r="16" spans="1:3" x14ac:dyDescent="0.3">
      <c r="A16" s="4">
        <v>45467</v>
      </c>
      <c r="B16">
        <v>835</v>
      </c>
      <c r="C16">
        <v>139.25</v>
      </c>
    </row>
    <row r="17" spans="1:3" x14ac:dyDescent="0.3">
      <c r="A17" s="5">
        <v>45467</v>
      </c>
      <c r="B17">
        <v>-123</v>
      </c>
      <c r="C17">
        <v>269.75</v>
      </c>
    </row>
    <row r="18" spans="1:3" x14ac:dyDescent="0.3">
      <c r="A18" s="4">
        <v>45474</v>
      </c>
      <c r="B18">
        <v>-219</v>
      </c>
      <c r="C18">
        <v>323.25</v>
      </c>
    </row>
    <row r="19" spans="1:3" x14ac:dyDescent="0.3">
      <c r="A19" s="5">
        <v>45474</v>
      </c>
      <c r="B19">
        <v>64</v>
      </c>
      <c r="C19">
        <v>796</v>
      </c>
    </row>
    <row r="20" spans="1:3" x14ac:dyDescent="0.3">
      <c r="A20" s="4">
        <v>45474</v>
      </c>
      <c r="B20">
        <v>1357</v>
      </c>
      <c r="C20">
        <v>857.25</v>
      </c>
    </row>
    <row r="21" spans="1:3" x14ac:dyDescent="0.3">
      <c r="A21" s="5">
        <v>45474</v>
      </c>
      <c r="B21">
        <v>91</v>
      </c>
      <c r="C21">
        <v>654.75</v>
      </c>
    </row>
    <row r="22" spans="1:3" x14ac:dyDescent="0.3">
      <c r="A22" s="4">
        <v>45481</v>
      </c>
      <c r="B22">
        <v>1672</v>
      </c>
      <c r="C22">
        <v>760.5</v>
      </c>
    </row>
    <row r="23" spans="1:3" x14ac:dyDescent="0.3">
      <c r="A23" s="5">
        <v>45481</v>
      </c>
      <c r="B23">
        <v>309</v>
      </c>
      <c r="C23">
        <v>803.75</v>
      </c>
    </row>
    <row r="24" spans="1:3" x14ac:dyDescent="0.3">
      <c r="A24" s="4">
        <v>45481</v>
      </c>
      <c r="B24">
        <v>547</v>
      </c>
      <c r="C24">
        <v>685.5</v>
      </c>
    </row>
    <row r="25" spans="1:3" x14ac:dyDescent="0.3">
      <c r="A25" s="5">
        <v>45481</v>
      </c>
      <c r="B25">
        <v>514</v>
      </c>
      <c r="C25">
        <v>656</v>
      </c>
    </row>
    <row r="26" spans="1:3" x14ac:dyDescent="0.3">
      <c r="A26" s="4">
        <v>45488</v>
      </c>
      <c r="B26">
        <v>1845</v>
      </c>
      <c r="C26">
        <v>567.5</v>
      </c>
    </row>
    <row r="27" spans="1:3" x14ac:dyDescent="0.3">
      <c r="A27" s="5">
        <v>45488</v>
      </c>
      <c r="B27">
        <v>-164</v>
      </c>
      <c r="C27">
        <v>146</v>
      </c>
    </row>
    <row r="28" spans="1:3" x14ac:dyDescent="0.3">
      <c r="A28" s="4">
        <v>45488</v>
      </c>
      <c r="B28">
        <v>429</v>
      </c>
      <c r="C28">
        <v>427.25</v>
      </c>
    </row>
    <row r="29" spans="1:3" x14ac:dyDescent="0.3">
      <c r="A29" s="5">
        <v>45488</v>
      </c>
      <c r="B29">
        <v>160</v>
      </c>
      <c r="C29">
        <v>649</v>
      </c>
    </row>
    <row r="30" spans="1:3" x14ac:dyDescent="0.3">
      <c r="A30" s="4">
        <v>45495</v>
      </c>
      <c r="B30">
        <v>159</v>
      </c>
      <c r="C30">
        <v>688.25</v>
      </c>
    </row>
    <row r="31" spans="1:3" x14ac:dyDescent="0.3">
      <c r="A31" s="5">
        <v>45495</v>
      </c>
      <c r="B31">
        <v>961</v>
      </c>
      <c r="C31">
        <v>783.75</v>
      </c>
    </row>
    <row r="32" spans="1:3" x14ac:dyDescent="0.3">
      <c r="A32" s="4">
        <v>45495</v>
      </c>
      <c r="B32">
        <v>1316</v>
      </c>
      <c r="C32">
        <v>464</v>
      </c>
    </row>
    <row r="33" spans="1:3" x14ac:dyDescent="0.3">
      <c r="A33" s="5">
        <v>45495</v>
      </c>
      <c r="B33">
        <v>317</v>
      </c>
      <c r="C33">
        <v>508.75</v>
      </c>
    </row>
    <row r="34" spans="1:3" x14ac:dyDescent="0.3">
      <c r="A34" s="4">
        <v>45502</v>
      </c>
      <c r="B34">
        <v>541</v>
      </c>
      <c r="C34">
        <v>548.25</v>
      </c>
    </row>
    <row r="35" spans="1:3" x14ac:dyDescent="0.3">
      <c r="A35" s="5">
        <v>45502</v>
      </c>
      <c r="B35">
        <v>-318</v>
      </c>
      <c r="C35">
        <v>501</v>
      </c>
    </row>
    <row r="36" spans="1:3" x14ac:dyDescent="0.3">
      <c r="A36" s="4">
        <v>45502</v>
      </c>
      <c r="B36">
        <v>1495</v>
      </c>
      <c r="C36">
        <v>531.25</v>
      </c>
    </row>
    <row r="37" spans="1:3" x14ac:dyDescent="0.3">
      <c r="A37" s="5">
        <v>45502</v>
      </c>
      <c r="B37">
        <v>475</v>
      </c>
      <c r="C37">
        <v>239.5</v>
      </c>
    </row>
    <row r="38" spans="1:3" x14ac:dyDescent="0.3">
      <c r="A38" s="4">
        <v>45509</v>
      </c>
      <c r="B38">
        <v>352</v>
      </c>
      <c r="C38">
        <v>200.5</v>
      </c>
    </row>
    <row r="39" spans="1:3" x14ac:dyDescent="0.3">
      <c r="A39" s="5">
        <v>45509</v>
      </c>
      <c r="B39">
        <v>-197</v>
      </c>
      <c r="C39">
        <v>443.75</v>
      </c>
    </row>
    <row r="40" spans="1:3" x14ac:dyDescent="0.3">
      <c r="A40" s="4">
        <v>45509</v>
      </c>
      <c r="B40">
        <v>328</v>
      </c>
      <c r="C40">
        <v>826.5</v>
      </c>
    </row>
    <row r="41" spans="1:3" x14ac:dyDescent="0.3">
      <c r="A41" s="5">
        <v>45509</v>
      </c>
      <c r="B41">
        <v>319</v>
      </c>
      <c r="C41">
        <v>753.75</v>
      </c>
    </row>
    <row r="42" spans="1:3" x14ac:dyDescent="0.3">
      <c r="A42" s="4">
        <v>45516</v>
      </c>
      <c r="B42">
        <v>1325</v>
      </c>
      <c r="C42">
        <v>932</v>
      </c>
    </row>
    <row r="43" spans="1:3" x14ac:dyDescent="0.3">
      <c r="A43" s="5">
        <v>45516</v>
      </c>
      <c r="B43">
        <v>1334</v>
      </c>
      <c r="C43">
        <v>619.75</v>
      </c>
    </row>
    <row r="44" spans="1:3" x14ac:dyDescent="0.3">
      <c r="A44" s="4">
        <v>45516</v>
      </c>
      <c r="B44">
        <v>37</v>
      </c>
      <c r="C44">
        <v>550.75</v>
      </c>
    </row>
    <row r="45" spans="1:3" x14ac:dyDescent="0.3">
      <c r="A45" s="5">
        <v>45516</v>
      </c>
      <c r="B45">
        <v>1032</v>
      </c>
      <c r="C45">
        <v>957.75</v>
      </c>
    </row>
    <row r="46" spans="1:3" x14ac:dyDescent="0.3">
      <c r="A46" s="4">
        <v>45523</v>
      </c>
      <c r="B46">
        <v>76</v>
      </c>
      <c r="C46">
        <v>747.25</v>
      </c>
    </row>
    <row r="47" spans="1:3" x14ac:dyDescent="0.3">
      <c r="A47" s="5">
        <v>45523</v>
      </c>
      <c r="B47">
        <v>1058</v>
      </c>
      <c r="C47">
        <v>1130.5</v>
      </c>
    </row>
    <row r="48" spans="1:3" x14ac:dyDescent="0.3">
      <c r="A48" s="4">
        <v>45523</v>
      </c>
      <c r="B48">
        <v>1665</v>
      </c>
      <c r="C48">
        <v>875.25</v>
      </c>
    </row>
    <row r="49" spans="1:3" x14ac:dyDescent="0.3">
      <c r="A49" s="5">
        <v>45523</v>
      </c>
      <c r="B49">
        <v>190</v>
      </c>
      <c r="C49">
        <v>766.25</v>
      </c>
    </row>
    <row r="50" spans="1:3" x14ac:dyDescent="0.3">
      <c r="A50" s="4">
        <v>45530</v>
      </c>
      <c r="B50">
        <v>1609</v>
      </c>
      <c r="C50">
        <v>725.75</v>
      </c>
    </row>
    <row r="51" spans="1:3" x14ac:dyDescent="0.3">
      <c r="A51" s="5">
        <v>45530</v>
      </c>
      <c r="B51">
        <v>37</v>
      </c>
      <c r="C51">
        <v>635.25</v>
      </c>
    </row>
    <row r="52" spans="1:3" x14ac:dyDescent="0.3">
      <c r="A52" s="4">
        <v>45530</v>
      </c>
      <c r="B52">
        <v>1229</v>
      </c>
      <c r="C52">
        <v>887.25</v>
      </c>
    </row>
    <row r="53" spans="1:3" x14ac:dyDescent="0.3">
      <c r="A53" s="5">
        <v>45530</v>
      </c>
      <c r="B53">
        <v>28</v>
      </c>
      <c r="C53">
        <v>629.25</v>
      </c>
    </row>
    <row r="54" spans="1:3" x14ac:dyDescent="0.3">
      <c r="A54" s="4">
        <v>45537</v>
      </c>
      <c r="B54">
        <v>1247</v>
      </c>
      <c r="C54">
        <v>705.5</v>
      </c>
    </row>
    <row r="55" spans="1:3" x14ac:dyDescent="0.3">
      <c r="A55" s="5">
        <v>45537</v>
      </c>
      <c r="B55">
        <v>1045</v>
      </c>
      <c r="C55">
        <v>786.75</v>
      </c>
    </row>
    <row r="56" spans="1:3" x14ac:dyDescent="0.3">
      <c r="A56" s="4">
        <v>45537</v>
      </c>
      <c r="B56">
        <v>197</v>
      </c>
      <c r="C56">
        <v>882.5</v>
      </c>
    </row>
    <row r="57" spans="1:3" x14ac:dyDescent="0.3">
      <c r="A57" s="5">
        <v>45537</v>
      </c>
      <c r="B57">
        <v>333</v>
      </c>
      <c r="C57">
        <v>898.25</v>
      </c>
    </row>
    <row r="58" spans="1:3" x14ac:dyDescent="0.3">
      <c r="A58" s="4">
        <v>45544</v>
      </c>
      <c r="B58">
        <v>1572</v>
      </c>
      <c r="C58">
        <v>1090</v>
      </c>
    </row>
    <row r="59" spans="1:3" x14ac:dyDescent="0.3">
      <c r="A59" s="5">
        <v>45544</v>
      </c>
      <c r="B59">
        <v>1428</v>
      </c>
      <c r="C59">
        <v>791.25</v>
      </c>
    </row>
    <row r="60" spans="1:3" x14ac:dyDescent="0.3">
      <c r="A60" s="4">
        <v>45544</v>
      </c>
      <c r="B60">
        <v>260</v>
      </c>
      <c r="C60">
        <v>458.75</v>
      </c>
    </row>
    <row r="61" spans="1:3" x14ac:dyDescent="0.3">
      <c r="A61" s="5">
        <v>45544</v>
      </c>
      <c r="B61">
        <v>1100</v>
      </c>
      <c r="C61">
        <v>675</v>
      </c>
    </row>
    <row r="62" spans="1:3" x14ac:dyDescent="0.3">
      <c r="A62" s="4">
        <v>45551</v>
      </c>
      <c r="B62">
        <v>377</v>
      </c>
      <c r="C62">
        <v>392</v>
      </c>
    </row>
    <row r="63" spans="1:3" x14ac:dyDescent="0.3">
      <c r="A63" s="5">
        <v>45551</v>
      </c>
      <c r="B63">
        <v>98</v>
      </c>
      <c r="C63">
        <v>464.25</v>
      </c>
    </row>
    <row r="64" spans="1:3" x14ac:dyDescent="0.3">
      <c r="A64" s="4">
        <v>45551</v>
      </c>
      <c r="B64">
        <v>1125</v>
      </c>
      <c r="C64">
        <v>435</v>
      </c>
    </row>
    <row r="65" spans="1:3" x14ac:dyDescent="0.3">
      <c r="A65" s="5">
        <v>45551</v>
      </c>
      <c r="B65">
        <v>-32</v>
      </c>
      <c r="C65">
        <v>573.75</v>
      </c>
    </row>
    <row r="66" spans="1:3" x14ac:dyDescent="0.3">
      <c r="A66" s="4">
        <v>45558</v>
      </c>
      <c r="B66">
        <v>666</v>
      </c>
      <c r="C66">
        <v>833.25</v>
      </c>
    </row>
    <row r="67" spans="1:3" x14ac:dyDescent="0.3">
      <c r="A67" s="5">
        <v>45558</v>
      </c>
      <c r="B67">
        <v>-19</v>
      </c>
      <c r="C67">
        <v>923</v>
      </c>
    </row>
    <row r="68" spans="1:3" x14ac:dyDescent="0.3">
      <c r="A68" s="4">
        <v>45558</v>
      </c>
      <c r="B68">
        <v>1680</v>
      </c>
      <c r="C68">
        <v>883</v>
      </c>
    </row>
    <row r="69" spans="1:3" x14ac:dyDescent="0.3">
      <c r="A69" s="5">
        <v>45558</v>
      </c>
      <c r="B69">
        <v>1006</v>
      </c>
      <c r="C69">
        <v>612.75</v>
      </c>
    </row>
    <row r="70" spans="1:3" x14ac:dyDescent="0.3">
      <c r="A70" s="4">
        <v>45565</v>
      </c>
      <c r="B70">
        <v>1025</v>
      </c>
      <c r="C70">
        <v>787.75</v>
      </c>
    </row>
    <row r="71" spans="1:3" x14ac:dyDescent="0.3">
      <c r="A71" s="5">
        <v>45565</v>
      </c>
      <c r="B71">
        <v>-179</v>
      </c>
      <c r="C71">
        <v>999.5</v>
      </c>
    </row>
    <row r="72" spans="1:3" x14ac:dyDescent="0.3">
      <c r="A72" s="4">
        <v>45565</v>
      </c>
      <c r="B72">
        <v>599</v>
      </c>
      <c r="C72">
        <v>1459.75</v>
      </c>
    </row>
    <row r="73" spans="1:3" x14ac:dyDescent="0.3">
      <c r="A73" s="5">
        <v>45565</v>
      </c>
      <c r="B73">
        <v>1706</v>
      </c>
      <c r="C73">
        <v>1336.75</v>
      </c>
    </row>
    <row r="74" spans="1:3" x14ac:dyDescent="0.3">
      <c r="A74" s="4">
        <v>45572</v>
      </c>
      <c r="B74">
        <v>1872</v>
      </c>
      <c r="C74">
        <v>939.75</v>
      </c>
    </row>
    <row r="75" spans="1:3" x14ac:dyDescent="0.3">
      <c r="A75" s="5">
        <v>45572</v>
      </c>
      <c r="B75">
        <v>1662</v>
      </c>
      <c r="C75">
        <v>777.75</v>
      </c>
    </row>
    <row r="76" spans="1:3" x14ac:dyDescent="0.3">
      <c r="A76" s="4">
        <v>45572</v>
      </c>
      <c r="B76">
        <v>107</v>
      </c>
      <c r="C76">
        <v>433.5</v>
      </c>
    </row>
    <row r="77" spans="1:3" x14ac:dyDescent="0.3">
      <c r="A77" s="5">
        <v>45572</v>
      </c>
      <c r="B77">
        <v>118</v>
      </c>
      <c r="C77">
        <v>401.75</v>
      </c>
    </row>
    <row r="78" spans="1:3" x14ac:dyDescent="0.3">
      <c r="A78" s="4">
        <v>45579</v>
      </c>
      <c r="B78">
        <v>1224</v>
      </c>
      <c r="C78">
        <v>464</v>
      </c>
    </row>
    <row r="79" spans="1:3" x14ac:dyDescent="0.3">
      <c r="A79" s="5">
        <v>45579</v>
      </c>
      <c r="B79">
        <v>285</v>
      </c>
      <c r="C79">
        <v>223.5</v>
      </c>
    </row>
    <row r="80" spans="1:3" x14ac:dyDescent="0.3">
      <c r="A80" s="4">
        <v>45579</v>
      </c>
      <c r="B80">
        <v>-20</v>
      </c>
      <c r="C80">
        <v>262</v>
      </c>
    </row>
    <row r="81" spans="1:10" x14ac:dyDescent="0.3">
      <c r="A81" s="5">
        <v>45579</v>
      </c>
      <c r="B81">
        <v>367</v>
      </c>
      <c r="C81">
        <v>426</v>
      </c>
    </row>
    <row r="82" spans="1:10" x14ac:dyDescent="0.3">
      <c r="A82" s="4">
        <v>45586</v>
      </c>
      <c r="B82">
        <v>262</v>
      </c>
      <c r="C82">
        <v>705.25</v>
      </c>
    </row>
    <row r="83" spans="1:10" x14ac:dyDescent="0.3">
      <c r="A83" s="5">
        <v>45586</v>
      </c>
      <c r="B83">
        <v>439</v>
      </c>
      <c r="C83">
        <v>783.75</v>
      </c>
    </row>
    <row r="84" spans="1:10" x14ac:dyDescent="0.3">
      <c r="A84" s="4">
        <v>45586</v>
      </c>
      <c r="B84">
        <v>636</v>
      </c>
      <c r="C84">
        <v>770.5</v>
      </c>
    </row>
    <row r="85" spans="1:10" x14ac:dyDescent="0.3">
      <c r="A85" s="5">
        <v>45586</v>
      </c>
      <c r="B85">
        <v>1484</v>
      </c>
      <c r="C85">
        <v>620.75</v>
      </c>
    </row>
    <row r="86" spans="1:10" x14ac:dyDescent="0.3">
      <c r="A86" s="4">
        <v>45593</v>
      </c>
      <c r="B86">
        <v>576</v>
      </c>
      <c r="C86">
        <v>664</v>
      </c>
    </row>
    <row r="87" spans="1:10" x14ac:dyDescent="0.3">
      <c r="A87" s="5">
        <v>45593</v>
      </c>
      <c r="B87">
        <v>386</v>
      </c>
      <c r="C87">
        <v>869.25</v>
      </c>
    </row>
    <row r="88" spans="1:10" x14ac:dyDescent="0.3">
      <c r="A88" s="4">
        <v>45593</v>
      </c>
      <c r="B88">
        <v>37</v>
      </c>
      <c r="C88">
        <v>907.75</v>
      </c>
    </row>
    <row r="89" spans="1:10" x14ac:dyDescent="0.3">
      <c r="A89" s="5">
        <v>45593</v>
      </c>
      <c r="B89">
        <v>1657</v>
      </c>
      <c r="C89">
        <v>1299.25</v>
      </c>
    </row>
    <row r="90" spans="1:10" x14ac:dyDescent="0.3">
      <c r="A90" s="4">
        <v>45600</v>
      </c>
      <c r="B90">
        <v>1397</v>
      </c>
      <c r="C90">
        <v>1146</v>
      </c>
    </row>
    <row r="91" spans="1:10" x14ac:dyDescent="0.3">
      <c r="A91" s="5">
        <v>45600</v>
      </c>
      <c r="B91">
        <v>540</v>
      </c>
      <c r="C91">
        <v>1022.25</v>
      </c>
    </row>
    <row r="92" spans="1:10" x14ac:dyDescent="0.3">
      <c r="A92" s="4">
        <v>45600</v>
      </c>
      <c r="B92">
        <v>1603</v>
      </c>
      <c r="C92">
        <v>860.75</v>
      </c>
    </row>
    <row r="93" spans="1:10" x14ac:dyDescent="0.3">
      <c r="A93" s="5">
        <v>45600</v>
      </c>
      <c r="B93">
        <v>1044</v>
      </c>
      <c r="C93">
        <v>747.5</v>
      </c>
    </row>
    <row r="94" spans="1:10" x14ac:dyDescent="0.3">
      <c r="A94" s="4">
        <v>45607</v>
      </c>
      <c r="B94">
        <v>902</v>
      </c>
      <c r="C94">
        <v>573.75</v>
      </c>
    </row>
    <row r="95" spans="1:10" x14ac:dyDescent="0.3">
      <c r="A95" s="5">
        <v>45607</v>
      </c>
      <c r="B95">
        <v>-106</v>
      </c>
      <c r="C95">
        <v>336</v>
      </c>
      <c r="H95" t="s">
        <v>57</v>
      </c>
      <c r="I95" t="s">
        <v>58</v>
      </c>
      <c r="J95" t="s">
        <v>61</v>
      </c>
    </row>
    <row r="96" spans="1:10" x14ac:dyDescent="0.3">
      <c r="A96" s="4">
        <v>45607</v>
      </c>
      <c r="B96">
        <v>1150</v>
      </c>
      <c r="C96">
        <v>380.5</v>
      </c>
      <c r="H96">
        <v>45446</v>
      </c>
      <c r="I96">
        <v>1047</v>
      </c>
      <c r="J96">
        <v>888.5</v>
      </c>
    </row>
    <row r="97" spans="1:10" x14ac:dyDescent="0.3">
      <c r="A97" s="5">
        <v>45607</v>
      </c>
      <c r="B97">
        <v>349</v>
      </c>
      <c r="C97">
        <v>204.25</v>
      </c>
      <c r="H97">
        <v>45446</v>
      </c>
      <c r="I97">
        <v>1002</v>
      </c>
      <c r="J97">
        <v>756</v>
      </c>
    </row>
    <row r="98" spans="1:10" x14ac:dyDescent="0.3">
      <c r="A98" s="4">
        <v>45614</v>
      </c>
      <c r="B98">
        <v>-49</v>
      </c>
      <c r="C98">
        <v>132</v>
      </c>
      <c r="H98">
        <v>45446</v>
      </c>
      <c r="I98">
        <v>415</v>
      </c>
      <c r="J98">
        <v>826.25</v>
      </c>
    </row>
    <row r="99" spans="1:10" x14ac:dyDescent="0.3">
      <c r="A99" s="5">
        <v>45614</v>
      </c>
      <c r="B99">
        <v>72</v>
      </c>
      <c r="C99">
        <v>567.5</v>
      </c>
      <c r="H99">
        <v>45446</v>
      </c>
      <c r="I99">
        <v>1090</v>
      </c>
      <c r="J99">
        <v>769</v>
      </c>
    </row>
    <row r="100" spans="1:10" x14ac:dyDescent="0.3">
      <c r="A100" s="4">
        <v>45614</v>
      </c>
      <c r="B100">
        <v>445</v>
      </c>
      <c r="C100">
        <v>882.5</v>
      </c>
      <c r="H100">
        <v>45453</v>
      </c>
      <c r="I100">
        <v>517</v>
      </c>
      <c r="J100">
        <v>745</v>
      </c>
    </row>
    <row r="101" spans="1:10" x14ac:dyDescent="0.3">
      <c r="A101" s="5">
        <v>45614</v>
      </c>
      <c r="B101">
        <v>60</v>
      </c>
      <c r="C101">
        <v>795.75</v>
      </c>
      <c r="H101">
        <v>45453</v>
      </c>
      <c r="I101">
        <v>1283</v>
      </c>
      <c r="J101">
        <v>839</v>
      </c>
    </row>
    <row r="102" spans="1:10" x14ac:dyDescent="0.3">
      <c r="A102" s="4">
        <v>45621</v>
      </c>
      <c r="B102">
        <v>1693</v>
      </c>
      <c r="C102">
        <v>1002</v>
      </c>
      <c r="H102">
        <v>45453</v>
      </c>
      <c r="I102">
        <v>186</v>
      </c>
      <c r="J102">
        <v>863.75</v>
      </c>
    </row>
    <row r="103" spans="1:10" x14ac:dyDescent="0.3">
      <c r="A103" s="5">
        <v>45621</v>
      </c>
      <c r="B103">
        <v>1332</v>
      </c>
      <c r="C103">
        <v>985</v>
      </c>
      <c r="H103">
        <v>45453</v>
      </c>
      <c r="I103">
        <v>994</v>
      </c>
      <c r="J103">
        <v>1141</v>
      </c>
    </row>
    <row r="104" spans="1:10" x14ac:dyDescent="0.3">
      <c r="A104" s="4">
        <v>45621</v>
      </c>
      <c r="B104">
        <v>98</v>
      </c>
      <c r="C104">
        <v>1078.5</v>
      </c>
      <c r="H104">
        <v>45460</v>
      </c>
      <c r="I104">
        <v>893</v>
      </c>
      <c r="J104">
        <v>976.75</v>
      </c>
    </row>
    <row r="105" spans="1:10" x14ac:dyDescent="0.3">
      <c r="A105" s="5">
        <v>45621</v>
      </c>
      <c r="B105">
        <v>885</v>
      </c>
      <c r="C105">
        <v>1347.25</v>
      </c>
      <c r="H105">
        <v>45460</v>
      </c>
      <c r="I105">
        <v>1382</v>
      </c>
      <c r="J105">
        <v>910.75</v>
      </c>
    </row>
    <row r="106" spans="1:10" x14ac:dyDescent="0.3">
      <c r="A106" s="4">
        <v>45628</v>
      </c>
      <c r="B106">
        <v>1625</v>
      </c>
      <c r="C106">
        <v>1198.75</v>
      </c>
      <c r="H106">
        <v>45460</v>
      </c>
      <c r="I106">
        <v>1295</v>
      </c>
      <c r="J106">
        <v>982.75</v>
      </c>
    </row>
    <row r="107" spans="1:10" x14ac:dyDescent="0.3">
      <c r="A107" s="5">
        <v>45628</v>
      </c>
      <c r="B107">
        <v>1706</v>
      </c>
      <c r="C107">
        <v>1072.25</v>
      </c>
      <c r="H107">
        <v>45460</v>
      </c>
      <c r="I107">
        <v>337</v>
      </c>
      <c r="J107">
        <v>867.75</v>
      </c>
    </row>
    <row r="108" spans="1:10" x14ac:dyDescent="0.3">
      <c r="A108" s="4">
        <v>45628</v>
      </c>
      <c r="B108">
        <v>1173</v>
      </c>
      <c r="C108">
        <v>989</v>
      </c>
      <c r="H108">
        <v>45467</v>
      </c>
      <c r="I108">
        <v>629</v>
      </c>
      <c r="J108">
        <v>752.75</v>
      </c>
    </row>
    <row r="109" spans="1:10" x14ac:dyDescent="0.3">
      <c r="A109" s="5">
        <v>45628</v>
      </c>
      <c r="B109">
        <v>291</v>
      </c>
      <c r="C109">
        <v>1127.5</v>
      </c>
      <c r="H109">
        <v>45467</v>
      </c>
      <c r="I109">
        <v>1670</v>
      </c>
      <c r="J109">
        <v>540.75</v>
      </c>
    </row>
    <row r="110" spans="1:10" x14ac:dyDescent="0.3">
      <c r="A110" s="4">
        <v>45635</v>
      </c>
      <c r="B110">
        <v>1119</v>
      </c>
      <c r="C110">
        <v>1198</v>
      </c>
      <c r="H110">
        <v>45467</v>
      </c>
      <c r="I110">
        <v>835</v>
      </c>
      <c r="J110">
        <v>139.25</v>
      </c>
    </row>
    <row r="111" spans="1:10" x14ac:dyDescent="0.3">
      <c r="A111" s="5">
        <v>45635</v>
      </c>
      <c r="B111">
        <v>1373</v>
      </c>
      <c r="C111">
        <v>1276.25</v>
      </c>
      <c r="H111">
        <v>45467</v>
      </c>
      <c r="I111">
        <v>-123</v>
      </c>
      <c r="J111">
        <v>269.75</v>
      </c>
    </row>
    <row r="112" spans="1:10" x14ac:dyDescent="0.3">
      <c r="A112" s="4">
        <v>45635</v>
      </c>
      <c r="B112">
        <v>1727</v>
      </c>
      <c r="C112">
        <v>1277.25</v>
      </c>
      <c r="H112">
        <v>45474</v>
      </c>
      <c r="I112">
        <v>-219</v>
      </c>
      <c r="J112">
        <v>323.25</v>
      </c>
    </row>
    <row r="113" spans="1:10" x14ac:dyDescent="0.3">
      <c r="A113" s="5">
        <v>45635</v>
      </c>
      <c r="B113">
        <v>573</v>
      </c>
      <c r="C113">
        <v>1185.25</v>
      </c>
      <c r="H113">
        <v>45474</v>
      </c>
      <c r="I113">
        <v>64</v>
      </c>
      <c r="J113">
        <v>796</v>
      </c>
    </row>
    <row r="114" spans="1:10" x14ac:dyDescent="0.3">
      <c r="A114" s="4">
        <v>45642</v>
      </c>
      <c r="B114">
        <v>1432</v>
      </c>
      <c r="C114">
        <v>1261</v>
      </c>
      <c r="H114">
        <v>45474</v>
      </c>
      <c r="I114">
        <v>1357</v>
      </c>
      <c r="J114">
        <v>857.25</v>
      </c>
    </row>
    <row r="115" spans="1:10" x14ac:dyDescent="0.3">
      <c r="A115" s="5">
        <v>45642</v>
      </c>
      <c r="B115">
        <v>1377</v>
      </c>
      <c r="C115">
        <v>1074</v>
      </c>
      <c r="H115">
        <v>45474</v>
      </c>
      <c r="I115">
        <v>91</v>
      </c>
      <c r="J115">
        <v>654.75</v>
      </c>
    </row>
    <row r="116" spans="1:10" x14ac:dyDescent="0.3">
      <c r="A116" s="4">
        <v>45642</v>
      </c>
      <c r="B116">
        <v>1359</v>
      </c>
      <c r="C116">
        <v>912.25</v>
      </c>
      <c r="H116">
        <v>45481</v>
      </c>
      <c r="I116">
        <v>1672</v>
      </c>
      <c r="J116">
        <v>760.5</v>
      </c>
    </row>
    <row r="117" spans="1:10" x14ac:dyDescent="0.3">
      <c r="A117" s="5">
        <v>45642</v>
      </c>
      <c r="B117">
        <v>876</v>
      </c>
      <c r="C117">
        <v>800.25</v>
      </c>
      <c r="H117">
        <v>45481</v>
      </c>
      <c r="I117">
        <v>309</v>
      </c>
      <c r="J117">
        <v>803.75</v>
      </c>
    </row>
    <row r="118" spans="1:10" x14ac:dyDescent="0.3">
      <c r="A118" s="4">
        <v>45649</v>
      </c>
      <c r="B118">
        <v>684</v>
      </c>
      <c r="C118">
        <v>978.5</v>
      </c>
      <c r="H118">
        <v>45481</v>
      </c>
      <c r="I118">
        <v>547</v>
      </c>
      <c r="J118">
        <v>685.5</v>
      </c>
    </row>
    <row r="119" spans="1:10" x14ac:dyDescent="0.3">
      <c r="A119" s="5">
        <v>45649</v>
      </c>
      <c r="B119">
        <v>730</v>
      </c>
      <c r="C119">
        <v>1248.75</v>
      </c>
      <c r="H119">
        <v>45481</v>
      </c>
      <c r="I119">
        <v>514</v>
      </c>
      <c r="J119">
        <v>656</v>
      </c>
    </row>
    <row r="120" spans="1:10" x14ac:dyDescent="0.3">
      <c r="A120" s="4">
        <v>45649</v>
      </c>
      <c r="B120">
        <v>911</v>
      </c>
      <c r="C120">
        <v>1510.25</v>
      </c>
      <c r="H120">
        <v>45488</v>
      </c>
      <c r="I120">
        <v>1845</v>
      </c>
      <c r="J120">
        <v>567.5</v>
      </c>
    </row>
    <row r="121" spans="1:10" x14ac:dyDescent="0.3">
      <c r="A121" s="5">
        <v>45649</v>
      </c>
      <c r="B121">
        <v>1589</v>
      </c>
      <c r="C121">
        <v>1664.75</v>
      </c>
      <c r="H121">
        <v>45488</v>
      </c>
      <c r="I121">
        <v>-164</v>
      </c>
      <c r="J121">
        <v>146</v>
      </c>
    </row>
    <row r="122" spans="1:10" x14ac:dyDescent="0.3">
      <c r="A122" s="4">
        <v>45656</v>
      </c>
      <c r="B122">
        <v>1765</v>
      </c>
      <c r="C122">
        <v>1632.5</v>
      </c>
      <c r="H122">
        <v>45488</v>
      </c>
      <c r="I122">
        <v>429</v>
      </c>
      <c r="J122">
        <v>427.25</v>
      </c>
    </row>
    <row r="123" spans="1:10" x14ac:dyDescent="0.3">
      <c r="A123" s="5">
        <v>45656</v>
      </c>
      <c r="B123">
        <v>1776</v>
      </c>
      <c r="C123">
        <v>1417</v>
      </c>
      <c r="H123">
        <v>45488</v>
      </c>
      <c r="I123">
        <v>160</v>
      </c>
      <c r="J123">
        <v>649</v>
      </c>
    </row>
    <row r="124" spans="1:10" x14ac:dyDescent="0.3">
      <c r="A124" s="4">
        <v>45656</v>
      </c>
      <c r="B124">
        <v>1529</v>
      </c>
      <c r="C124">
        <v>1128</v>
      </c>
      <c r="H124">
        <v>45495</v>
      </c>
      <c r="I124">
        <v>159</v>
      </c>
      <c r="J124">
        <v>688.25</v>
      </c>
    </row>
    <row r="125" spans="1:10" x14ac:dyDescent="0.3">
      <c r="A125" s="5">
        <v>45656</v>
      </c>
      <c r="B125">
        <v>1460</v>
      </c>
      <c r="C125">
        <v>1042.75</v>
      </c>
      <c r="H125">
        <v>45495</v>
      </c>
      <c r="I125">
        <v>961</v>
      </c>
      <c r="J125">
        <v>783.75</v>
      </c>
    </row>
    <row r="126" spans="1:10" x14ac:dyDescent="0.3">
      <c r="A126" s="4">
        <v>45663</v>
      </c>
      <c r="B126">
        <v>903</v>
      </c>
      <c r="C126">
        <v>889.25</v>
      </c>
      <c r="H126">
        <v>45495</v>
      </c>
      <c r="I126">
        <v>1316</v>
      </c>
      <c r="J126">
        <v>464</v>
      </c>
    </row>
    <row r="127" spans="1:10" x14ac:dyDescent="0.3">
      <c r="A127" s="5">
        <v>45663</v>
      </c>
      <c r="B127">
        <v>620</v>
      </c>
      <c r="C127">
        <v>1094</v>
      </c>
      <c r="H127">
        <v>45495</v>
      </c>
      <c r="I127">
        <v>317</v>
      </c>
      <c r="J127">
        <v>508.75</v>
      </c>
    </row>
    <row r="128" spans="1:10" x14ac:dyDescent="0.3">
      <c r="A128" s="4">
        <v>45663</v>
      </c>
      <c r="B128">
        <v>1188</v>
      </c>
      <c r="C128">
        <v>1013.5</v>
      </c>
      <c r="H128">
        <v>45502</v>
      </c>
      <c r="I128">
        <v>541</v>
      </c>
      <c r="J128">
        <v>548.25</v>
      </c>
    </row>
    <row r="129" spans="1:10" x14ac:dyDescent="0.3">
      <c r="A129" s="5">
        <v>45663</v>
      </c>
      <c r="B129">
        <v>846</v>
      </c>
      <c r="C129">
        <v>680.5</v>
      </c>
      <c r="H129">
        <v>45502</v>
      </c>
      <c r="I129">
        <v>-318</v>
      </c>
      <c r="J129">
        <v>501</v>
      </c>
    </row>
    <row r="130" spans="1:10" x14ac:dyDescent="0.3">
      <c r="A130" s="4">
        <v>45670</v>
      </c>
      <c r="B130">
        <v>1722</v>
      </c>
      <c r="C130">
        <v>694.25</v>
      </c>
      <c r="H130">
        <v>45502</v>
      </c>
      <c r="I130">
        <v>1495</v>
      </c>
      <c r="J130">
        <v>531.25</v>
      </c>
    </row>
    <row r="131" spans="1:10" x14ac:dyDescent="0.3">
      <c r="A131" s="5">
        <v>45670</v>
      </c>
      <c r="B131">
        <v>298</v>
      </c>
      <c r="C131">
        <v>656.75</v>
      </c>
      <c r="H131">
        <v>45502</v>
      </c>
      <c r="I131">
        <v>475</v>
      </c>
      <c r="J131">
        <v>239.5</v>
      </c>
    </row>
    <row r="132" spans="1:10" x14ac:dyDescent="0.3">
      <c r="A132" s="4">
        <v>45670</v>
      </c>
      <c r="B132">
        <v>-144</v>
      </c>
      <c r="C132">
        <v>689</v>
      </c>
      <c r="H132">
        <v>45509</v>
      </c>
      <c r="I132">
        <v>352</v>
      </c>
      <c r="J132">
        <v>200.5</v>
      </c>
    </row>
    <row r="133" spans="1:10" x14ac:dyDescent="0.3">
      <c r="A133" s="5">
        <v>45670</v>
      </c>
      <c r="B133">
        <v>901</v>
      </c>
      <c r="C133">
        <v>947.75</v>
      </c>
      <c r="H133">
        <v>45509</v>
      </c>
      <c r="I133">
        <v>-197</v>
      </c>
      <c r="J133">
        <v>443.75</v>
      </c>
    </row>
    <row r="134" spans="1:10" x14ac:dyDescent="0.3">
      <c r="A134" s="4">
        <v>45677</v>
      </c>
      <c r="B134">
        <v>1572</v>
      </c>
      <c r="C134">
        <v>903.5</v>
      </c>
      <c r="H134">
        <v>45509</v>
      </c>
      <c r="I134">
        <v>328</v>
      </c>
      <c r="J134">
        <v>826.5</v>
      </c>
    </row>
    <row r="135" spans="1:10" x14ac:dyDescent="0.3">
      <c r="A135" s="5">
        <v>45677</v>
      </c>
      <c r="B135">
        <v>427</v>
      </c>
      <c r="C135">
        <v>469</v>
      </c>
      <c r="H135">
        <v>45509</v>
      </c>
      <c r="I135">
        <v>319</v>
      </c>
      <c r="J135">
        <v>753.75</v>
      </c>
    </row>
    <row r="136" spans="1:10" x14ac:dyDescent="0.3">
      <c r="A136" s="4">
        <v>45677</v>
      </c>
      <c r="B136">
        <v>891</v>
      </c>
      <c r="C136">
        <v>586.75</v>
      </c>
      <c r="H136">
        <v>45516</v>
      </c>
      <c r="I136">
        <v>1325</v>
      </c>
      <c r="J136">
        <v>932</v>
      </c>
    </row>
    <row r="137" spans="1:10" x14ac:dyDescent="0.3">
      <c r="A137" s="5">
        <v>45677</v>
      </c>
      <c r="B137">
        <v>724</v>
      </c>
      <c r="C137">
        <v>720.5</v>
      </c>
      <c r="H137">
        <v>45516</v>
      </c>
      <c r="I137">
        <v>1334</v>
      </c>
      <c r="J137">
        <v>619.75</v>
      </c>
    </row>
    <row r="138" spans="1:10" x14ac:dyDescent="0.3">
      <c r="A138" s="4">
        <v>45684</v>
      </c>
      <c r="B138">
        <v>-166</v>
      </c>
      <c r="C138">
        <v>845.75</v>
      </c>
      <c r="H138">
        <v>45516</v>
      </c>
      <c r="I138">
        <v>37</v>
      </c>
      <c r="J138">
        <v>550.75</v>
      </c>
    </row>
    <row r="139" spans="1:10" x14ac:dyDescent="0.3">
      <c r="A139" s="5">
        <v>45684</v>
      </c>
      <c r="B139">
        <v>898</v>
      </c>
      <c r="C139">
        <v>1157.25</v>
      </c>
      <c r="H139">
        <v>45516</v>
      </c>
      <c r="I139">
        <v>1032</v>
      </c>
      <c r="J139">
        <v>957.75</v>
      </c>
    </row>
    <row r="140" spans="1:10" x14ac:dyDescent="0.3">
      <c r="A140" s="4">
        <v>45684</v>
      </c>
      <c r="B140">
        <v>1426</v>
      </c>
      <c r="C140">
        <v>1119.75</v>
      </c>
      <c r="H140">
        <v>45523</v>
      </c>
      <c r="I140">
        <v>76</v>
      </c>
      <c r="J140">
        <v>747.25</v>
      </c>
    </row>
    <row r="141" spans="1:10" x14ac:dyDescent="0.3">
      <c r="A141" s="5">
        <v>45684</v>
      </c>
      <c r="B141">
        <v>1225</v>
      </c>
      <c r="C141">
        <v>905.5</v>
      </c>
      <c r="H141">
        <v>45523</v>
      </c>
      <c r="I141">
        <v>1058</v>
      </c>
      <c r="J141">
        <v>1130.5</v>
      </c>
    </row>
    <row r="142" spans="1:10" x14ac:dyDescent="0.3">
      <c r="A142" s="4">
        <v>45691</v>
      </c>
      <c r="B142">
        <v>1080</v>
      </c>
      <c r="C142">
        <v>548.5</v>
      </c>
      <c r="H142">
        <v>45523</v>
      </c>
      <c r="I142">
        <v>1665</v>
      </c>
      <c r="J142">
        <v>875.25</v>
      </c>
    </row>
    <row r="143" spans="1:10" x14ac:dyDescent="0.3">
      <c r="A143" s="5">
        <v>45691</v>
      </c>
      <c r="B143">
        <v>748</v>
      </c>
      <c r="C143">
        <v>709.25</v>
      </c>
      <c r="H143">
        <v>45523</v>
      </c>
      <c r="I143">
        <v>190</v>
      </c>
      <c r="J143">
        <v>766.25</v>
      </c>
    </row>
    <row r="144" spans="1:10" x14ac:dyDescent="0.3">
      <c r="A144" s="4">
        <v>45691</v>
      </c>
      <c r="B144">
        <v>569</v>
      </c>
      <c r="C144">
        <v>750.25</v>
      </c>
      <c r="H144">
        <v>45530</v>
      </c>
      <c r="I144">
        <v>1609</v>
      </c>
      <c r="J144">
        <v>725.75</v>
      </c>
    </row>
    <row r="145" spans="1:10" x14ac:dyDescent="0.3">
      <c r="A145" s="5">
        <v>45691</v>
      </c>
      <c r="B145">
        <v>-203</v>
      </c>
      <c r="C145">
        <v>908.5</v>
      </c>
      <c r="H145">
        <v>45530</v>
      </c>
      <c r="I145">
        <v>37</v>
      </c>
      <c r="J145">
        <v>635.25</v>
      </c>
    </row>
    <row r="146" spans="1:10" x14ac:dyDescent="0.3">
      <c r="A146" s="4">
        <v>45698</v>
      </c>
      <c r="B146">
        <v>1723</v>
      </c>
      <c r="C146">
        <v>1320.25</v>
      </c>
      <c r="H146">
        <v>45530</v>
      </c>
      <c r="I146">
        <v>1229</v>
      </c>
      <c r="J146">
        <v>887.25</v>
      </c>
    </row>
    <row r="147" spans="1:10" x14ac:dyDescent="0.3">
      <c r="A147" s="5">
        <v>45698</v>
      </c>
      <c r="B147">
        <v>912</v>
      </c>
      <c r="C147">
        <v>1130.75</v>
      </c>
      <c r="H147">
        <v>45530</v>
      </c>
      <c r="I147">
        <v>28</v>
      </c>
      <c r="J147">
        <v>629.25</v>
      </c>
    </row>
    <row r="148" spans="1:10" x14ac:dyDescent="0.3">
      <c r="A148" s="4">
        <v>45698</v>
      </c>
      <c r="B148">
        <v>1202</v>
      </c>
      <c r="C148">
        <v>1300.25</v>
      </c>
      <c r="H148">
        <v>45537</v>
      </c>
      <c r="I148">
        <v>1247</v>
      </c>
      <c r="J148">
        <v>705.5</v>
      </c>
    </row>
    <row r="149" spans="1:10" x14ac:dyDescent="0.3">
      <c r="A149" s="5">
        <v>45698</v>
      </c>
      <c r="B149">
        <v>1444</v>
      </c>
      <c r="C149">
        <v>990.5</v>
      </c>
      <c r="H149">
        <v>45537</v>
      </c>
      <c r="I149">
        <v>1045</v>
      </c>
      <c r="J149">
        <v>786.75</v>
      </c>
    </row>
    <row r="150" spans="1:10" x14ac:dyDescent="0.3">
      <c r="A150" s="4">
        <v>45705</v>
      </c>
      <c r="B150">
        <v>965</v>
      </c>
      <c r="C150">
        <v>923.25</v>
      </c>
      <c r="H150">
        <v>45537</v>
      </c>
      <c r="I150">
        <v>197</v>
      </c>
      <c r="J150">
        <v>882.5</v>
      </c>
    </row>
    <row r="151" spans="1:10" x14ac:dyDescent="0.3">
      <c r="A151" s="5">
        <v>45705</v>
      </c>
      <c r="B151">
        <v>1590</v>
      </c>
      <c r="C151">
        <v>1025.75</v>
      </c>
      <c r="H151">
        <v>45537</v>
      </c>
      <c r="I151">
        <v>333</v>
      </c>
      <c r="J151">
        <v>898.25</v>
      </c>
    </row>
    <row r="152" spans="1:10" x14ac:dyDescent="0.3">
      <c r="A152" s="4">
        <v>45705</v>
      </c>
      <c r="B152">
        <v>-37</v>
      </c>
      <c r="C152">
        <v>1055</v>
      </c>
      <c r="H152">
        <v>45544</v>
      </c>
      <c r="I152">
        <v>1572</v>
      </c>
      <c r="J152">
        <v>1090</v>
      </c>
    </row>
    <row r="153" spans="1:10" x14ac:dyDescent="0.3">
      <c r="A153" s="5">
        <v>45705</v>
      </c>
      <c r="B153">
        <v>1175</v>
      </c>
      <c r="C153">
        <v>1241.25</v>
      </c>
      <c r="H153">
        <v>45544</v>
      </c>
      <c r="I153">
        <v>1428</v>
      </c>
      <c r="J153">
        <v>791.25</v>
      </c>
    </row>
    <row r="154" spans="1:10" x14ac:dyDescent="0.3">
      <c r="A154" s="4">
        <v>45712</v>
      </c>
      <c r="B154">
        <v>1375</v>
      </c>
      <c r="C154">
        <v>1201.5</v>
      </c>
      <c r="H154">
        <v>45544</v>
      </c>
      <c r="I154">
        <v>260</v>
      </c>
      <c r="J154">
        <v>458.75</v>
      </c>
    </row>
    <row r="155" spans="1:10" x14ac:dyDescent="0.3">
      <c r="A155" s="5">
        <v>45712</v>
      </c>
      <c r="B155">
        <v>1707</v>
      </c>
      <c r="C155">
        <v>1186.5</v>
      </c>
      <c r="H155">
        <v>45544</v>
      </c>
      <c r="I155">
        <v>1100</v>
      </c>
      <c r="J155">
        <v>675</v>
      </c>
    </row>
    <row r="156" spans="1:10" x14ac:dyDescent="0.3">
      <c r="A156" s="4">
        <v>45712</v>
      </c>
      <c r="B156">
        <v>708</v>
      </c>
      <c r="C156">
        <v>730</v>
      </c>
      <c r="H156">
        <v>45551</v>
      </c>
      <c r="I156">
        <v>377</v>
      </c>
      <c r="J156">
        <v>392</v>
      </c>
    </row>
    <row r="157" spans="1:10" x14ac:dyDescent="0.3">
      <c r="A157" s="5">
        <v>45712</v>
      </c>
      <c r="B157">
        <v>1016</v>
      </c>
      <c r="C157">
        <v>777.75</v>
      </c>
      <c r="H157">
        <v>45551</v>
      </c>
      <c r="I157">
        <v>98</v>
      </c>
      <c r="J157">
        <v>464.25</v>
      </c>
    </row>
    <row r="158" spans="1:10" x14ac:dyDescent="0.3">
      <c r="A158" s="4">
        <v>45719</v>
      </c>
      <c r="B158">
        <v>1315</v>
      </c>
      <c r="C158">
        <v>602.5</v>
      </c>
      <c r="H158">
        <v>45551</v>
      </c>
      <c r="I158">
        <v>1125</v>
      </c>
      <c r="J158">
        <v>435</v>
      </c>
    </row>
    <row r="159" spans="1:10" x14ac:dyDescent="0.3">
      <c r="A159" s="5">
        <v>45719</v>
      </c>
      <c r="B159">
        <v>-119</v>
      </c>
      <c r="C159">
        <v>326.75</v>
      </c>
      <c r="H159">
        <v>45551</v>
      </c>
      <c r="I159">
        <v>-32</v>
      </c>
      <c r="J159">
        <v>573.75</v>
      </c>
    </row>
    <row r="160" spans="1:10" x14ac:dyDescent="0.3">
      <c r="A160" s="4">
        <v>45719</v>
      </c>
      <c r="B160">
        <v>899</v>
      </c>
      <c r="C160">
        <v>583.5</v>
      </c>
      <c r="H160">
        <v>45558</v>
      </c>
      <c r="I160">
        <v>666</v>
      </c>
      <c r="J160">
        <v>833.25</v>
      </c>
    </row>
    <row r="161" spans="1:10" x14ac:dyDescent="0.3">
      <c r="A161" s="5">
        <v>45719</v>
      </c>
      <c r="B161">
        <v>315</v>
      </c>
      <c r="C161">
        <v>696.25</v>
      </c>
      <c r="H161">
        <v>45558</v>
      </c>
      <c r="I161">
        <v>-19</v>
      </c>
      <c r="J161">
        <v>923</v>
      </c>
    </row>
    <row r="162" spans="1:10" x14ac:dyDescent="0.3">
      <c r="A162" s="4">
        <v>45726</v>
      </c>
      <c r="B162">
        <v>212</v>
      </c>
      <c r="C162">
        <v>928</v>
      </c>
      <c r="H162">
        <v>45558</v>
      </c>
      <c r="I162">
        <v>1680</v>
      </c>
      <c r="J162">
        <v>883</v>
      </c>
    </row>
    <row r="163" spans="1:10" x14ac:dyDescent="0.3">
      <c r="A163" s="5">
        <v>45726</v>
      </c>
      <c r="B163">
        <v>908</v>
      </c>
      <c r="C163">
        <v>1045</v>
      </c>
      <c r="H163">
        <v>45558</v>
      </c>
      <c r="I163">
        <v>1006</v>
      </c>
      <c r="J163">
        <v>612.75</v>
      </c>
    </row>
    <row r="164" spans="1:10" x14ac:dyDescent="0.3">
      <c r="A164" s="4">
        <v>45726</v>
      </c>
      <c r="B164">
        <v>1350</v>
      </c>
      <c r="C164">
        <v>1097</v>
      </c>
      <c r="H164">
        <v>45565</v>
      </c>
      <c r="I164">
        <v>1025</v>
      </c>
      <c r="J164">
        <v>787.75</v>
      </c>
    </row>
    <row r="165" spans="1:10" x14ac:dyDescent="0.3">
      <c r="A165" s="5">
        <v>45726</v>
      </c>
      <c r="B165">
        <v>1242</v>
      </c>
      <c r="C165">
        <v>974.75</v>
      </c>
      <c r="H165">
        <v>45565</v>
      </c>
      <c r="I165">
        <v>-179</v>
      </c>
      <c r="J165">
        <v>999.5</v>
      </c>
    </row>
    <row r="166" spans="1:10" x14ac:dyDescent="0.3">
      <c r="A166" s="4">
        <v>45733</v>
      </c>
      <c r="B166">
        <v>680</v>
      </c>
      <c r="C166">
        <v>1010.5</v>
      </c>
      <c r="H166">
        <v>45565</v>
      </c>
      <c r="I166">
        <v>599</v>
      </c>
      <c r="J166">
        <v>1459.75</v>
      </c>
    </row>
    <row r="167" spans="1:10" x14ac:dyDescent="0.3">
      <c r="A167" s="5">
        <v>45733</v>
      </c>
      <c r="B167">
        <v>1116</v>
      </c>
      <c r="C167">
        <v>955.75</v>
      </c>
      <c r="H167">
        <v>45565</v>
      </c>
      <c r="I167">
        <v>1706</v>
      </c>
      <c r="J167">
        <v>1336.75</v>
      </c>
    </row>
    <row r="168" spans="1:10" x14ac:dyDescent="0.3">
      <c r="A168" s="4">
        <v>45733</v>
      </c>
      <c r="B168">
        <v>861</v>
      </c>
      <c r="C168">
        <v>795.25</v>
      </c>
      <c r="H168">
        <v>45572</v>
      </c>
      <c r="I168">
        <v>1872</v>
      </c>
      <c r="J168">
        <v>939.75</v>
      </c>
    </row>
    <row r="169" spans="1:10" x14ac:dyDescent="0.3">
      <c r="A169" s="5">
        <v>45733</v>
      </c>
      <c r="B169">
        <v>1385</v>
      </c>
      <c r="C169">
        <v>653</v>
      </c>
      <c r="H169">
        <v>45572</v>
      </c>
      <c r="I169">
        <v>1662</v>
      </c>
      <c r="J169">
        <v>777.75</v>
      </c>
    </row>
    <row r="170" spans="1:10" x14ac:dyDescent="0.3">
      <c r="A170" s="4">
        <v>45740</v>
      </c>
      <c r="B170">
        <v>461</v>
      </c>
      <c r="C170">
        <v>404</v>
      </c>
      <c r="H170">
        <v>45572</v>
      </c>
      <c r="I170">
        <v>107</v>
      </c>
      <c r="J170">
        <v>433.5</v>
      </c>
    </row>
    <row r="171" spans="1:10" x14ac:dyDescent="0.3">
      <c r="A171" s="5">
        <v>45740</v>
      </c>
      <c r="B171">
        <v>474</v>
      </c>
      <c r="C171">
        <v>449</v>
      </c>
      <c r="H171">
        <v>45572</v>
      </c>
      <c r="I171">
        <v>118</v>
      </c>
      <c r="J171">
        <v>401.75</v>
      </c>
    </row>
    <row r="172" spans="1:10" x14ac:dyDescent="0.3">
      <c r="A172" s="4">
        <v>45740</v>
      </c>
      <c r="B172">
        <v>292</v>
      </c>
      <c r="C172">
        <v>459</v>
      </c>
      <c r="H172">
        <v>45579</v>
      </c>
      <c r="I172">
        <v>1224</v>
      </c>
      <c r="J172">
        <v>464</v>
      </c>
    </row>
    <row r="173" spans="1:10" x14ac:dyDescent="0.3">
      <c r="A173" s="5">
        <v>45740</v>
      </c>
      <c r="B173">
        <v>389</v>
      </c>
      <c r="C173">
        <v>805</v>
      </c>
      <c r="H173">
        <v>45579</v>
      </c>
      <c r="I173">
        <v>285</v>
      </c>
      <c r="J173">
        <v>223.5</v>
      </c>
    </row>
    <row r="174" spans="1:10" x14ac:dyDescent="0.3">
      <c r="A174" s="4">
        <v>45747</v>
      </c>
      <c r="B174">
        <v>641</v>
      </c>
      <c r="C174">
        <v>1074.5</v>
      </c>
      <c r="H174">
        <v>45579</v>
      </c>
      <c r="I174">
        <v>-20</v>
      </c>
      <c r="J174">
        <v>262</v>
      </c>
    </row>
    <row r="175" spans="1:10" x14ac:dyDescent="0.3">
      <c r="A175" s="5">
        <v>45747</v>
      </c>
      <c r="B175">
        <v>514</v>
      </c>
      <c r="C175">
        <v>956</v>
      </c>
      <c r="H175">
        <v>45579</v>
      </c>
      <c r="I175">
        <v>367</v>
      </c>
      <c r="J175">
        <v>426</v>
      </c>
    </row>
    <row r="176" spans="1:10" x14ac:dyDescent="0.3">
      <c r="A176" s="4">
        <v>45747</v>
      </c>
      <c r="B176">
        <v>1676</v>
      </c>
      <c r="C176">
        <v>1084.75</v>
      </c>
      <c r="H176">
        <v>45586</v>
      </c>
      <c r="I176">
        <v>262</v>
      </c>
      <c r="J176">
        <v>705.25</v>
      </c>
    </row>
    <row r="177" spans="1:10" x14ac:dyDescent="0.3">
      <c r="A177" s="5">
        <v>45747</v>
      </c>
      <c r="B177">
        <v>1467</v>
      </c>
      <c r="C177">
        <v>917.5</v>
      </c>
      <c r="H177">
        <v>45586</v>
      </c>
      <c r="I177">
        <v>439</v>
      </c>
      <c r="J177">
        <v>783.75</v>
      </c>
    </row>
    <row r="178" spans="1:10" x14ac:dyDescent="0.3">
      <c r="A178" s="4">
        <v>45754</v>
      </c>
      <c r="B178">
        <v>167</v>
      </c>
      <c r="C178">
        <v>603</v>
      </c>
      <c r="H178">
        <v>45586</v>
      </c>
      <c r="I178">
        <v>636</v>
      </c>
      <c r="J178">
        <v>770.5</v>
      </c>
    </row>
    <row r="179" spans="1:10" x14ac:dyDescent="0.3">
      <c r="A179" s="5">
        <v>45754</v>
      </c>
      <c r="B179">
        <v>1029</v>
      </c>
      <c r="C179">
        <v>521.25</v>
      </c>
      <c r="H179">
        <v>45586</v>
      </c>
      <c r="I179">
        <v>1484</v>
      </c>
      <c r="J179">
        <v>620.75</v>
      </c>
    </row>
    <row r="180" spans="1:10" x14ac:dyDescent="0.3">
      <c r="A180" s="4">
        <v>45754</v>
      </c>
      <c r="B180">
        <v>1007</v>
      </c>
      <c r="C180">
        <v>220.25</v>
      </c>
      <c r="H180">
        <v>45593</v>
      </c>
      <c r="I180">
        <v>576</v>
      </c>
      <c r="J180">
        <v>664</v>
      </c>
    </row>
    <row r="181" spans="1:10" x14ac:dyDescent="0.3">
      <c r="A181" s="5">
        <v>45754</v>
      </c>
      <c r="B181">
        <v>209</v>
      </c>
      <c r="C181">
        <v>-18.25</v>
      </c>
      <c r="H181">
        <v>45593</v>
      </c>
      <c r="I181">
        <v>386</v>
      </c>
      <c r="J181">
        <v>869.25</v>
      </c>
    </row>
    <row r="182" spans="1:10" x14ac:dyDescent="0.3">
      <c r="A182" s="4">
        <v>45761</v>
      </c>
      <c r="B182">
        <v>-160</v>
      </c>
      <c r="C182">
        <v>-34.25</v>
      </c>
      <c r="H182">
        <v>45593</v>
      </c>
      <c r="I182">
        <v>37</v>
      </c>
      <c r="J182">
        <v>907.75</v>
      </c>
    </row>
    <row r="183" spans="1:10" x14ac:dyDescent="0.3">
      <c r="A183" s="5">
        <v>45761</v>
      </c>
      <c r="B183">
        <v>-175</v>
      </c>
      <c r="C183">
        <v>156.5</v>
      </c>
      <c r="H183">
        <v>45593</v>
      </c>
      <c r="I183">
        <v>1657</v>
      </c>
      <c r="J183">
        <v>1299.25</v>
      </c>
    </row>
    <row r="184" spans="1:10" x14ac:dyDescent="0.3">
      <c r="A184" s="4">
        <v>45761</v>
      </c>
      <c r="B184">
        <v>53</v>
      </c>
      <c r="C184">
        <v>461.5</v>
      </c>
      <c r="H184">
        <v>45600</v>
      </c>
      <c r="I184">
        <v>1397</v>
      </c>
      <c r="J184">
        <v>1146</v>
      </c>
    </row>
    <row r="185" spans="1:10" x14ac:dyDescent="0.3">
      <c r="A185" s="5">
        <v>45761</v>
      </c>
      <c r="B185">
        <v>145</v>
      </c>
      <c r="C185">
        <v>638</v>
      </c>
      <c r="H185">
        <v>45600</v>
      </c>
      <c r="I185">
        <v>540</v>
      </c>
      <c r="J185">
        <v>1022.25</v>
      </c>
    </row>
    <row r="186" spans="1:10" x14ac:dyDescent="0.3">
      <c r="A186" s="4">
        <v>45768</v>
      </c>
      <c r="B186">
        <v>603</v>
      </c>
      <c r="C186">
        <v>1010</v>
      </c>
      <c r="H186">
        <v>45600</v>
      </c>
      <c r="I186">
        <v>1603</v>
      </c>
      <c r="J186">
        <v>860.75</v>
      </c>
    </row>
    <row r="187" spans="1:10" x14ac:dyDescent="0.3">
      <c r="A187" s="5">
        <v>45768</v>
      </c>
      <c r="B187">
        <v>1045</v>
      </c>
      <c r="C187">
        <v>1244</v>
      </c>
      <c r="H187">
        <v>45600</v>
      </c>
      <c r="I187">
        <v>1044</v>
      </c>
      <c r="J187">
        <v>747.5</v>
      </c>
    </row>
    <row r="188" spans="1:10" x14ac:dyDescent="0.3">
      <c r="A188" s="4">
        <v>45768</v>
      </c>
      <c r="B188">
        <v>759</v>
      </c>
      <c r="C188">
        <v>1096</v>
      </c>
      <c r="H188">
        <v>45607</v>
      </c>
      <c r="I188">
        <v>902</v>
      </c>
      <c r="J188">
        <v>573.75</v>
      </c>
    </row>
    <row r="189" spans="1:10" x14ac:dyDescent="0.3">
      <c r="A189" s="5">
        <v>45768</v>
      </c>
      <c r="B189">
        <v>1633</v>
      </c>
      <c r="C189">
        <v>1143.25</v>
      </c>
      <c r="H189">
        <v>45607</v>
      </c>
      <c r="I189">
        <v>-106</v>
      </c>
      <c r="J189">
        <v>336</v>
      </c>
    </row>
    <row r="190" spans="1:10" x14ac:dyDescent="0.3">
      <c r="A190" s="4">
        <v>45775</v>
      </c>
      <c r="B190">
        <v>1539</v>
      </c>
      <c r="C190">
        <v>894.25</v>
      </c>
      <c r="H190">
        <v>45607</v>
      </c>
      <c r="I190">
        <v>1150</v>
      </c>
      <c r="J190">
        <v>380.5</v>
      </c>
    </row>
    <row r="191" spans="1:10" x14ac:dyDescent="0.3">
      <c r="A191" s="5">
        <v>45775</v>
      </c>
      <c r="B191">
        <v>453</v>
      </c>
      <c r="C191">
        <v>979.75</v>
      </c>
      <c r="H191">
        <v>45607</v>
      </c>
      <c r="I191">
        <v>349</v>
      </c>
      <c r="J191">
        <v>204.25</v>
      </c>
    </row>
    <row r="192" spans="1:10" x14ac:dyDescent="0.3">
      <c r="A192" s="4">
        <v>45775</v>
      </c>
      <c r="B192">
        <v>948</v>
      </c>
      <c r="C192">
        <v>951.25</v>
      </c>
      <c r="H192">
        <v>45614</v>
      </c>
      <c r="I192">
        <v>-49</v>
      </c>
      <c r="J192">
        <v>132</v>
      </c>
    </row>
    <row r="193" spans="1:12" x14ac:dyDescent="0.3">
      <c r="A193" s="5">
        <v>45775</v>
      </c>
      <c r="B193">
        <v>637</v>
      </c>
      <c r="C193">
        <v>1091.75</v>
      </c>
      <c r="H193">
        <v>45614</v>
      </c>
      <c r="I193">
        <v>72</v>
      </c>
      <c r="J193">
        <v>567.5</v>
      </c>
    </row>
    <row r="194" spans="1:12" x14ac:dyDescent="0.3">
      <c r="A194" s="4">
        <v>45782</v>
      </c>
      <c r="B194">
        <v>1881</v>
      </c>
      <c r="C194">
        <v>1148.5</v>
      </c>
      <c r="H194">
        <v>45614</v>
      </c>
      <c r="I194">
        <v>445</v>
      </c>
      <c r="J194">
        <v>882.5</v>
      </c>
    </row>
    <row r="195" spans="1:12" x14ac:dyDescent="0.3">
      <c r="A195" s="5">
        <v>45782</v>
      </c>
      <c r="B195">
        <v>339</v>
      </c>
      <c r="C195">
        <v>1092.25</v>
      </c>
      <c r="H195">
        <v>45614</v>
      </c>
      <c r="I195">
        <v>60</v>
      </c>
      <c r="J195">
        <v>795.75</v>
      </c>
    </row>
    <row r="196" spans="1:12" x14ac:dyDescent="0.3">
      <c r="A196" s="4">
        <v>45782</v>
      </c>
      <c r="B196">
        <v>1510</v>
      </c>
      <c r="C196">
        <v>1109.25</v>
      </c>
      <c r="H196">
        <v>45621</v>
      </c>
      <c r="I196">
        <v>1693</v>
      </c>
      <c r="J196">
        <v>1002</v>
      </c>
    </row>
    <row r="197" spans="1:12" x14ac:dyDescent="0.3">
      <c r="A197" s="5">
        <v>45782</v>
      </c>
      <c r="B197">
        <v>864</v>
      </c>
      <c r="C197">
        <v>799</v>
      </c>
      <c r="H197">
        <v>45621</v>
      </c>
      <c r="I197">
        <v>1332</v>
      </c>
      <c r="J197">
        <v>985</v>
      </c>
    </row>
    <row r="198" spans="1:12" x14ac:dyDescent="0.3">
      <c r="A198" s="4">
        <v>45789</v>
      </c>
      <c r="B198">
        <v>1656</v>
      </c>
      <c r="C198">
        <v>498.75</v>
      </c>
      <c r="H198">
        <v>45621</v>
      </c>
      <c r="I198">
        <v>98</v>
      </c>
      <c r="J198">
        <v>1078.5</v>
      </c>
    </row>
    <row r="199" spans="1:12" x14ac:dyDescent="0.3">
      <c r="A199" s="5">
        <v>45789</v>
      </c>
      <c r="B199">
        <v>407</v>
      </c>
      <c r="C199">
        <v>113</v>
      </c>
      <c r="H199">
        <v>45621</v>
      </c>
      <c r="I199">
        <v>885</v>
      </c>
      <c r="J199">
        <v>1347.25</v>
      </c>
    </row>
    <row r="200" spans="1:12" x14ac:dyDescent="0.3">
      <c r="A200" s="4">
        <v>45789</v>
      </c>
      <c r="B200">
        <v>269</v>
      </c>
      <c r="C200">
        <v>-34</v>
      </c>
      <c r="H200">
        <v>45628</v>
      </c>
      <c r="I200">
        <v>1625</v>
      </c>
      <c r="J200">
        <v>1198.75</v>
      </c>
    </row>
    <row r="201" spans="1:12" x14ac:dyDescent="0.3">
      <c r="A201" s="6">
        <v>45789</v>
      </c>
      <c r="B201">
        <v>-337</v>
      </c>
      <c r="C201">
        <v>-337</v>
      </c>
      <c r="H201">
        <v>45628</v>
      </c>
      <c r="I201">
        <v>1706</v>
      </c>
      <c r="J201">
        <v>1072.25</v>
      </c>
    </row>
    <row r="202" spans="1:12" x14ac:dyDescent="0.3">
      <c r="J202">
        <v>45628</v>
      </c>
      <c r="K202">
        <v>1173</v>
      </c>
      <c r="L202">
        <v>989</v>
      </c>
    </row>
    <row r="203" spans="1:12" x14ac:dyDescent="0.3">
      <c r="J203">
        <v>45628</v>
      </c>
      <c r="K203">
        <v>291</v>
      </c>
      <c r="L203">
        <v>1127.5</v>
      </c>
    </row>
    <row r="204" spans="1:12" x14ac:dyDescent="0.3">
      <c r="J204">
        <v>45635</v>
      </c>
      <c r="K204">
        <v>1119</v>
      </c>
      <c r="L204">
        <v>1198</v>
      </c>
    </row>
    <row r="205" spans="1:12" x14ac:dyDescent="0.3">
      <c r="J205">
        <v>45635</v>
      </c>
      <c r="K205">
        <v>1373</v>
      </c>
      <c r="L205">
        <v>1276.25</v>
      </c>
    </row>
    <row r="206" spans="1:12" x14ac:dyDescent="0.3">
      <c r="J206">
        <v>45635</v>
      </c>
      <c r="K206">
        <v>1727</v>
      </c>
      <c r="L206">
        <v>1277.25</v>
      </c>
    </row>
    <row r="207" spans="1:12" x14ac:dyDescent="0.3">
      <c r="J207">
        <v>45635</v>
      </c>
      <c r="K207">
        <v>573</v>
      </c>
      <c r="L207">
        <v>1185.25</v>
      </c>
    </row>
    <row r="208" spans="1:12" x14ac:dyDescent="0.3">
      <c r="J208">
        <v>45642</v>
      </c>
      <c r="K208">
        <v>1432</v>
      </c>
      <c r="L208">
        <v>1261</v>
      </c>
    </row>
    <row r="209" spans="10:12" x14ac:dyDescent="0.3">
      <c r="J209">
        <v>45642</v>
      </c>
      <c r="K209">
        <v>1377</v>
      </c>
      <c r="L209">
        <v>1074</v>
      </c>
    </row>
    <row r="210" spans="10:12" x14ac:dyDescent="0.3">
      <c r="J210">
        <v>45642</v>
      </c>
      <c r="K210">
        <v>1359</v>
      </c>
      <c r="L210">
        <v>912.25</v>
      </c>
    </row>
    <row r="211" spans="10:12" x14ac:dyDescent="0.3">
      <c r="J211">
        <v>45642</v>
      </c>
      <c r="K211">
        <v>876</v>
      </c>
      <c r="L211">
        <v>800.25</v>
      </c>
    </row>
    <row r="212" spans="10:12" x14ac:dyDescent="0.3">
      <c r="J212">
        <v>45649</v>
      </c>
      <c r="K212">
        <v>684</v>
      </c>
      <c r="L212">
        <v>978.5</v>
      </c>
    </row>
    <row r="213" spans="10:12" x14ac:dyDescent="0.3">
      <c r="J213">
        <v>45649</v>
      </c>
      <c r="K213">
        <v>730</v>
      </c>
      <c r="L213">
        <v>1248.75</v>
      </c>
    </row>
    <row r="214" spans="10:12" x14ac:dyDescent="0.3">
      <c r="J214">
        <v>45649</v>
      </c>
      <c r="K214">
        <v>911</v>
      </c>
      <c r="L214">
        <v>1510.25</v>
      </c>
    </row>
    <row r="215" spans="10:12" x14ac:dyDescent="0.3">
      <c r="J215">
        <v>45649</v>
      </c>
      <c r="K215">
        <v>1589</v>
      </c>
      <c r="L215">
        <v>1664.75</v>
      </c>
    </row>
    <row r="216" spans="10:12" x14ac:dyDescent="0.3">
      <c r="J216">
        <v>45656</v>
      </c>
      <c r="K216">
        <v>1765</v>
      </c>
      <c r="L216">
        <v>1632.5</v>
      </c>
    </row>
    <row r="217" spans="10:12" x14ac:dyDescent="0.3">
      <c r="J217">
        <v>45656</v>
      </c>
      <c r="K217">
        <v>1776</v>
      </c>
      <c r="L217">
        <v>1417</v>
      </c>
    </row>
    <row r="218" spans="10:12" x14ac:dyDescent="0.3">
      <c r="J218">
        <v>45656</v>
      </c>
      <c r="K218">
        <v>1529</v>
      </c>
      <c r="L218">
        <v>1128</v>
      </c>
    </row>
    <row r="219" spans="10:12" x14ac:dyDescent="0.3">
      <c r="J219">
        <v>45656</v>
      </c>
      <c r="K219">
        <v>1460</v>
      </c>
      <c r="L219">
        <v>1042.75</v>
      </c>
    </row>
    <row r="220" spans="10:12" x14ac:dyDescent="0.3">
      <c r="J220">
        <v>45663</v>
      </c>
      <c r="K220">
        <v>903</v>
      </c>
      <c r="L220">
        <v>889.25</v>
      </c>
    </row>
    <row r="221" spans="10:12" x14ac:dyDescent="0.3">
      <c r="J221">
        <v>45663</v>
      </c>
      <c r="K221">
        <v>620</v>
      </c>
      <c r="L221">
        <v>1094</v>
      </c>
    </row>
    <row r="222" spans="10:12" x14ac:dyDescent="0.3">
      <c r="J222">
        <v>45663</v>
      </c>
      <c r="K222">
        <v>1188</v>
      </c>
      <c r="L222">
        <v>1013.5</v>
      </c>
    </row>
    <row r="223" spans="10:12" x14ac:dyDescent="0.3">
      <c r="J223">
        <v>45663</v>
      </c>
      <c r="K223">
        <v>846</v>
      </c>
      <c r="L223">
        <v>680.5</v>
      </c>
    </row>
    <row r="224" spans="10:12" x14ac:dyDescent="0.3">
      <c r="J224">
        <v>45670</v>
      </c>
      <c r="K224">
        <v>1722</v>
      </c>
      <c r="L224">
        <v>694.25</v>
      </c>
    </row>
    <row r="225" spans="10:12" x14ac:dyDescent="0.3">
      <c r="J225">
        <v>45670</v>
      </c>
      <c r="K225">
        <v>298</v>
      </c>
      <c r="L225">
        <v>656.75</v>
      </c>
    </row>
    <row r="226" spans="10:12" x14ac:dyDescent="0.3">
      <c r="J226">
        <v>45670</v>
      </c>
      <c r="K226">
        <v>-144</v>
      </c>
      <c r="L226">
        <v>689</v>
      </c>
    </row>
    <row r="227" spans="10:12" x14ac:dyDescent="0.3">
      <c r="J227">
        <v>45670</v>
      </c>
      <c r="K227">
        <v>901</v>
      </c>
      <c r="L227">
        <v>947.75</v>
      </c>
    </row>
    <row r="228" spans="10:12" x14ac:dyDescent="0.3">
      <c r="J228">
        <v>45677</v>
      </c>
      <c r="K228">
        <v>1572</v>
      </c>
      <c r="L228">
        <v>903.5</v>
      </c>
    </row>
    <row r="229" spans="10:12" x14ac:dyDescent="0.3">
      <c r="J229">
        <v>45677</v>
      </c>
      <c r="K229">
        <v>427</v>
      </c>
      <c r="L229">
        <v>469</v>
      </c>
    </row>
    <row r="230" spans="10:12" x14ac:dyDescent="0.3">
      <c r="J230">
        <v>45677</v>
      </c>
      <c r="K230">
        <v>891</v>
      </c>
      <c r="L230">
        <v>586.75</v>
      </c>
    </row>
    <row r="231" spans="10:12" x14ac:dyDescent="0.3">
      <c r="J231">
        <v>45677</v>
      </c>
      <c r="K231">
        <v>724</v>
      </c>
      <c r="L231">
        <v>720.5</v>
      </c>
    </row>
    <row r="232" spans="10:12" x14ac:dyDescent="0.3">
      <c r="J232">
        <v>45684</v>
      </c>
      <c r="K232">
        <v>-166</v>
      </c>
      <c r="L232">
        <v>845.75</v>
      </c>
    </row>
    <row r="233" spans="10:12" x14ac:dyDescent="0.3">
      <c r="J233">
        <v>45684</v>
      </c>
      <c r="K233">
        <v>898</v>
      </c>
      <c r="L233">
        <v>1157.25</v>
      </c>
    </row>
    <row r="234" spans="10:12" x14ac:dyDescent="0.3">
      <c r="J234">
        <v>45684</v>
      </c>
      <c r="K234">
        <v>1426</v>
      </c>
      <c r="L234">
        <v>1119.75</v>
      </c>
    </row>
    <row r="235" spans="10:12" x14ac:dyDescent="0.3">
      <c r="J235">
        <v>45684</v>
      </c>
      <c r="K235">
        <v>1225</v>
      </c>
      <c r="L235">
        <v>905.5</v>
      </c>
    </row>
    <row r="236" spans="10:12" x14ac:dyDescent="0.3">
      <c r="J236">
        <v>45691</v>
      </c>
      <c r="K236">
        <v>1080</v>
      </c>
      <c r="L236">
        <v>548.5</v>
      </c>
    </row>
    <row r="237" spans="10:12" x14ac:dyDescent="0.3">
      <c r="J237">
        <v>45691</v>
      </c>
      <c r="K237">
        <v>748</v>
      </c>
      <c r="L237">
        <v>709.25</v>
      </c>
    </row>
    <row r="238" spans="10:12" x14ac:dyDescent="0.3">
      <c r="J238">
        <v>45691</v>
      </c>
      <c r="K238">
        <v>569</v>
      </c>
      <c r="L238">
        <v>750.25</v>
      </c>
    </row>
    <row r="239" spans="10:12" x14ac:dyDescent="0.3">
      <c r="J239">
        <v>45691</v>
      </c>
      <c r="K239">
        <v>-203</v>
      </c>
      <c r="L239">
        <v>908.5</v>
      </c>
    </row>
    <row r="240" spans="10:12" x14ac:dyDescent="0.3">
      <c r="J240">
        <v>45698</v>
      </c>
      <c r="K240">
        <v>1723</v>
      </c>
      <c r="L240">
        <v>1320.25</v>
      </c>
    </row>
    <row r="241" spans="10:12" x14ac:dyDescent="0.3">
      <c r="J241">
        <v>45698</v>
      </c>
      <c r="K241">
        <v>912</v>
      </c>
      <c r="L241">
        <v>1130.75</v>
      </c>
    </row>
    <row r="242" spans="10:12" x14ac:dyDescent="0.3">
      <c r="J242">
        <v>45698</v>
      </c>
      <c r="K242">
        <v>1202</v>
      </c>
      <c r="L242">
        <v>1300.25</v>
      </c>
    </row>
    <row r="243" spans="10:12" x14ac:dyDescent="0.3">
      <c r="J243">
        <v>45698</v>
      </c>
      <c r="K243">
        <v>1444</v>
      </c>
      <c r="L243">
        <v>990.5</v>
      </c>
    </row>
    <row r="244" spans="10:12" x14ac:dyDescent="0.3">
      <c r="J244">
        <v>45705</v>
      </c>
      <c r="K244">
        <v>965</v>
      </c>
      <c r="L244">
        <v>923.25</v>
      </c>
    </row>
    <row r="245" spans="10:12" x14ac:dyDescent="0.3">
      <c r="J245">
        <v>45705</v>
      </c>
      <c r="K245">
        <v>1590</v>
      </c>
      <c r="L245">
        <v>1025.75</v>
      </c>
    </row>
    <row r="246" spans="10:12" x14ac:dyDescent="0.3">
      <c r="J246">
        <v>45705</v>
      </c>
      <c r="K246">
        <v>-37</v>
      </c>
      <c r="L246">
        <v>1055</v>
      </c>
    </row>
    <row r="247" spans="10:12" x14ac:dyDescent="0.3">
      <c r="J247">
        <v>45705</v>
      </c>
      <c r="K247">
        <v>1175</v>
      </c>
      <c r="L247">
        <v>1241.25</v>
      </c>
    </row>
    <row r="248" spans="10:12" x14ac:dyDescent="0.3">
      <c r="J248">
        <v>45712</v>
      </c>
      <c r="K248">
        <v>1375</v>
      </c>
      <c r="L248">
        <v>1201.5</v>
      </c>
    </row>
    <row r="249" spans="10:12" x14ac:dyDescent="0.3">
      <c r="J249">
        <v>45712</v>
      </c>
      <c r="K249">
        <v>1707</v>
      </c>
      <c r="L249">
        <v>1186.5</v>
      </c>
    </row>
    <row r="250" spans="10:12" x14ac:dyDescent="0.3">
      <c r="J250">
        <v>45712</v>
      </c>
      <c r="K250">
        <v>708</v>
      </c>
      <c r="L250">
        <v>730</v>
      </c>
    </row>
    <row r="251" spans="10:12" x14ac:dyDescent="0.3">
      <c r="J251">
        <v>45712</v>
      </c>
      <c r="K251">
        <v>1016</v>
      </c>
      <c r="L251">
        <v>777.75</v>
      </c>
    </row>
    <row r="252" spans="10:12" x14ac:dyDescent="0.3">
      <c r="J252">
        <v>45719</v>
      </c>
      <c r="K252">
        <v>1315</v>
      </c>
      <c r="L252">
        <v>602.5</v>
      </c>
    </row>
    <row r="253" spans="10:12" x14ac:dyDescent="0.3">
      <c r="J253">
        <v>45719</v>
      </c>
      <c r="K253">
        <v>-119</v>
      </c>
      <c r="L253">
        <v>326.75</v>
      </c>
    </row>
    <row r="254" spans="10:12" x14ac:dyDescent="0.3">
      <c r="J254">
        <v>45719</v>
      </c>
      <c r="K254">
        <v>899</v>
      </c>
      <c r="L254">
        <v>583.5</v>
      </c>
    </row>
    <row r="255" spans="10:12" x14ac:dyDescent="0.3">
      <c r="J255">
        <v>45719</v>
      </c>
      <c r="K255">
        <v>315</v>
      </c>
      <c r="L255">
        <v>696.25</v>
      </c>
    </row>
    <row r="256" spans="10:12" x14ac:dyDescent="0.3">
      <c r="J256">
        <v>45726</v>
      </c>
      <c r="K256">
        <v>212</v>
      </c>
      <c r="L256">
        <v>928</v>
      </c>
    </row>
    <row r="257" spans="10:12" x14ac:dyDescent="0.3">
      <c r="J257">
        <v>45726</v>
      </c>
      <c r="K257">
        <v>908</v>
      </c>
      <c r="L257">
        <v>1045</v>
      </c>
    </row>
    <row r="258" spans="10:12" x14ac:dyDescent="0.3">
      <c r="J258">
        <v>45726</v>
      </c>
      <c r="K258">
        <v>1350</v>
      </c>
      <c r="L258">
        <v>1097</v>
      </c>
    </row>
    <row r="259" spans="10:12" x14ac:dyDescent="0.3">
      <c r="J259">
        <v>45726</v>
      </c>
      <c r="K259">
        <v>1242</v>
      </c>
      <c r="L259">
        <v>974.75</v>
      </c>
    </row>
    <row r="260" spans="10:12" x14ac:dyDescent="0.3">
      <c r="J260">
        <v>45733</v>
      </c>
      <c r="K260">
        <v>680</v>
      </c>
      <c r="L260">
        <v>1010.5</v>
      </c>
    </row>
    <row r="261" spans="10:12" x14ac:dyDescent="0.3">
      <c r="J261">
        <v>45733</v>
      </c>
      <c r="K261">
        <v>1116</v>
      </c>
      <c r="L261">
        <v>955.75</v>
      </c>
    </row>
    <row r="262" spans="10:12" x14ac:dyDescent="0.3">
      <c r="J262">
        <v>45733</v>
      </c>
      <c r="K262">
        <v>861</v>
      </c>
      <c r="L262">
        <v>795.25</v>
      </c>
    </row>
    <row r="263" spans="10:12" x14ac:dyDescent="0.3">
      <c r="J263">
        <v>45733</v>
      </c>
      <c r="K263">
        <v>1385</v>
      </c>
      <c r="L263">
        <v>653</v>
      </c>
    </row>
    <row r="264" spans="10:12" x14ac:dyDescent="0.3">
      <c r="J264">
        <v>45740</v>
      </c>
      <c r="K264">
        <v>461</v>
      </c>
      <c r="L264">
        <v>404</v>
      </c>
    </row>
    <row r="265" spans="10:12" x14ac:dyDescent="0.3">
      <c r="J265">
        <v>45740</v>
      </c>
      <c r="K265">
        <v>474</v>
      </c>
      <c r="L265">
        <v>449</v>
      </c>
    </row>
    <row r="266" spans="10:12" x14ac:dyDescent="0.3">
      <c r="J266">
        <v>45740</v>
      </c>
      <c r="K266">
        <v>292</v>
      </c>
      <c r="L266">
        <v>459</v>
      </c>
    </row>
    <row r="267" spans="10:12" x14ac:dyDescent="0.3">
      <c r="J267">
        <v>45740</v>
      </c>
      <c r="K267">
        <v>389</v>
      </c>
      <c r="L267">
        <v>805</v>
      </c>
    </row>
    <row r="268" spans="10:12" x14ac:dyDescent="0.3">
      <c r="J268">
        <v>45747</v>
      </c>
      <c r="K268">
        <v>641</v>
      </c>
      <c r="L268">
        <v>1074.5</v>
      </c>
    </row>
    <row r="269" spans="10:12" x14ac:dyDescent="0.3">
      <c r="J269">
        <v>45747</v>
      </c>
      <c r="K269">
        <v>514</v>
      </c>
      <c r="L269">
        <v>956</v>
      </c>
    </row>
    <row r="270" spans="10:12" x14ac:dyDescent="0.3">
      <c r="J270">
        <v>45747</v>
      </c>
      <c r="K270">
        <v>1676</v>
      </c>
      <c r="L270">
        <v>1084.75</v>
      </c>
    </row>
    <row r="271" spans="10:12" x14ac:dyDescent="0.3">
      <c r="J271">
        <v>45747</v>
      </c>
      <c r="K271">
        <v>1467</v>
      </c>
      <c r="L271">
        <v>917.5</v>
      </c>
    </row>
    <row r="272" spans="10:12" x14ac:dyDescent="0.3">
      <c r="J272">
        <v>45754</v>
      </c>
      <c r="K272">
        <v>167</v>
      </c>
      <c r="L272">
        <v>603</v>
      </c>
    </row>
    <row r="273" spans="10:12" x14ac:dyDescent="0.3">
      <c r="J273">
        <v>45754</v>
      </c>
      <c r="K273">
        <v>1029</v>
      </c>
      <c r="L273">
        <v>521.25</v>
      </c>
    </row>
    <row r="274" spans="10:12" x14ac:dyDescent="0.3">
      <c r="J274">
        <v>45754</v>
      </c>
      <c r="K274">
        <v>1007</v>
      </c>
      <c r="L274">
        <v>220.25</v>
      </c>
    </row>
    <row r="275" spans="10:12" x14ac:dyDescent="0.3">
      <c r="J275">
        <v>45754</v>
      </c>
      <c r="K275">
        <v>209</v>
      </c>
      <c r="L275">
        <v>-18.25</v>
      </c>
    </row>
    <row r="276" spans="10:12" x14ac:dyDescent="0.3">
      <c r="J276">
        <v>45761</v>
      </c>
      <c r="K276">
        <v>-160</v>
      </c>
      <c r="L276">
        <v>-34.25</v>
      </c>
    </row>
    <row r="277" spans="10:12" x14ac:dyDescent="0.3">
      <c r="J277">
        <v>45761</v>
      </c>
      <c r="K277">
        <v>-175</v>
      </c>
      <c r="L277">
        <v>156.5</v>
      </c>
    </row>
    <row r="278" spans="10:12" x14ac:dyDescent="0.3">
      <c r="J278">
        <v>45761</v>
      </c>
      <c r="K278">
        <v>53</v>
      </c>
      <c r="L278">
        <v>461.5</v>
      </c>
    </row>
    <row r="279" spans="10:12" x14ac:dyDescent="0.3">
      <c r="J279">
        <v>45761</v>
      </c>
      <c r="K279">
        <v>145</v>
      </c>
      <c r="L279">
        <v>638</v>
      </c>
    </row>
    <row r="280" spans="10:12" x14ac:dyDescent="0.3">
      <c r="J280">
        <v>45768</v>
      </c>
      <c r="K280">
        <v>603</v>
      </c>
      <c r="L280">
        <v>1010</v>
      </c>
    </row>
    <row r="281" spans="10:12" x14ac:dyDescent="0.3">
      <c r="J281">
        <v>45768</v>
      </c>
      <c r="K281">
        <v>1045</v>
      </c>
      <c r="L281">
        <v>1244</v>
      </c>
    </row>
    <row r="282" spans="10:12" x14ac:dyDescent="0.3">
      <c r="J282">
        <v>45768</v>
      </c>
      <c r="K282">
        <v>759</v>
      </c>
      <c r="L282">
        <v>1096</v>
      </c>
    </row>
    <row r="283" spans="10:12" x14ac:dyDescent="0.3">
      <c r="J283">
        <v>45768</v>
      </c>
      <c r="K283">
        <v>1633</v>
      </c>
      <c r="L283">
        <v>1143.25</v>
      </c>
    </row>
    <row r="284" spans="10:12" x14ac:dyDescent="0.3">
      <c r="J284">
        <v>45775</v>
      </c>
      <c r="K284">
        <v>1539</v>
      </c>
      <c r="L284">
        <v>894.25</v>
      </c>
    </row>
    <row r="285" spans="10:12" x14ac:dyDescent="0.3">
      <c r="J285">
        <v>45775</v>
      </c>
      <c r="K285">
        <v>453</v>
      </c>
      <c r="L285">
        <v>979.75</v>
      </c>
    </row>
    <row r="286" spans="10:12" x14ac:dyDescent="0.3">
      <c r="J286">
        <v>45775</v>
      </c>
      <c r="K286">
        <v>948</v>
      </c>
      <c r="L286">
        <v>951.25</v>
      </c>
    </row>
    <row r="287" spans="10:12" x14ac:dyDescent="0.3">
      <c r="J287">
        <v>45775</v>
      </c>
      <c r="K287">
        <v>637</v>
      </c>
      <c r="L287">
        <v>1091.75</v>
      </c>
    </row>
    <row r="288" spans="10:12" x14ac:dyDescent="0.3">
      <c r="J288">
        <v>45782</v>
      </c>
      <c r="K288">
        <v>1881</v>
      </c>
      <c r="L288">
        <v>1148.5</v>
      </c>
    </row>
    <row r="289" spans="10:12" x14ac:dyDescent="0.3">
      <c r="J289">
        <v>45782</v>
      </c>
      <c r="K289">
        <v>339</v>
      </c>
      <c r="L289">
        <v>1092.25</v>
      </c>
    </row>
    <row r="290" spans="10:12" x14ac:dyDescent="0.3">
      <c r="J290">
        <v>45782</v>
      </c>
      <c r="K290">
        <v>1510</v>
      </c>
      <c r="L290">
        <v>1109.25</v>
      </c>
    </row>
    <row r="291" spans="10:12" x14ac:dyDescent="0.3">
      <c r="J291">
        <v>45782</v>
      </c>
      <c r="K291">
        <v>864</v>
      </c>
      <c r="L291">
        <v>799</v>
      </c>
    </row>
    <row r="292" spans="10:12" x14ac:dyDescent="0.3">
      <c r="J292">
        <v>45789</v>
      </c>
      <c r="K292">
        <v>1656</v>
      </c>
      <c r="L292">
        <v>498.75</v>
      </c>
    </row>
    <row r="293" spans="10:12" x14ac:dyDescent="0.3">
      <c r="J293">
        <v>45789</v>
      </c>
      <c r="K293">
        <v>407</v>
      </c>
      <c r="L293">
        <v>113</v>
      </c>
    </row>
    <row r="294" spans="10:12" x14ac:dyDescent="0.3">
      <c r="J294">
        <v>45789</v>
      </c>
      <c r="K294">
        <v>269</v>
      </c>
      <c r="L294">
        <v>-34</v>
      </c>
    </row>
    <row r="295" spans="10:12" x14ac:dyDescent="0.3">
      <c r="J295">
        <v>45789</v>
      </c>
      <c r="K295">
        <v>-337</v>
      </c>
      <c r="L295">
        <v>-337</v>
      </c>
    </row>
    <row r="350" spans="8:9" x14ac:dyDescent="0.3">
      <c r="H350" t="s">
        <v>58</v>
      </c>
      <c r="I350" t="s">
        <v>61</v>
      </c>
    </row>
    <row r="351" spans="8:9" x14ac:dyDescent="0.3">
      <c r="H351">
        <v>1047</v>
      </c>
      <c r="I351">
        <v>888.5</v>
      </c>
    </row>
    <row r="352" spans="8:9" x14ac:dyDescent="0.3">
      <c r="H352">
        <v>1002</v>
      </c>
      <c r="I352">
        <v>756</v>
      </c>
    </row>
    <row r="353" spans="8:9" x14ac:dyDescent="0.3">
      <c r="H353">
        <v>415</v>
      </c>
      <c r="I353">
        <v>826.25</v>
      </c>
    </row>
    <row r="354" spans="8:9" x14ac:dyDescent="0.3">
      <c r="H354">
        <v>1090</v>
      </c>
      <c r="I354">
        <v>769</v>
      </c>
    </row>
    <row r="355" spans="8:9" x14ac:dyDescent="0.3">
      <c r="H355">
        <v>517</v>
      </c>
      <c r="I355">
        <v>745</v>
      </c>
    </row>
    <row r="356" spans="8:9" x14ac:dyDescent="0.3">
      <c r="H356">
        <v>1283</v>
      </c>
      <c r="I356">
        <v>839</v>
      </c>
    </row>
    <row r="357" spans="8:9" x14ac:dyDescent="0.3">
      <c r="H357">
        <v>186</v>
      </c>
      <c r="I357">
        <v>863.75</v>
      </c>
    </row>
    <row r="358" spans="8:9" x14ac:dyDescent="0.3">
      <c r="H358">
        <v>994</v>
      </c>
      <c r="I358">
        <v>1141</v>
      </c>
    </row>
    <row r="359" spans="8:9" x14ac:dyDescent="0.3">
      <c r="H359">
        <v>893</v>
      </c>
      <c r="I359">
        <v>976.75</v>
      </c>
    </row>
    <row r="360" spans="8:9" x14ac:dyDescent="0.3">
      <c r="H360">
        <v>1382</v>
      </c>
      <c r="I360">
        <v>910.75</v>
      </c>
    </row>
    <row r="361" spans="8:9" x14ac:dyDescent="0.3">
      <c r="H361">
        <v>1295</v>
      </c>
      <c r="I361">
        <v>982.75</v>
      </c>
    </row>
    <row r="362" spans="8:9" x14ac:dyDescent="0.3">
      <c r="H362">
        <v>337</v>
      </c>
      <c r="I362">
        <v>867.75</v>
      </c>
    </row>
    <row r="363" spans="8:9" x14ac:dyDescent="0.3">
      <c r="H363">
        <v>629</v>
      </c>
      <c r="I363">
        <v>752.75</v>
      </c>
    </row>
    <row r="364" spans="8:9" x14ac:dyDescent="0.3">
      <c r="H364">
        <v>1670</v>
      </c>
      <c r="I364">
        <v>540.75</v>
      </c>
    </row>
    <row r="365" spans="8:9" x14ac:dyDescent="0.3">
      <c r="H365">
        <v>835</v>
      </c>
      <c r="I365">
        <v>139.25</v>
      </c>
    </row>
    <row r="366" spans="8:9" x14ac:dyDescent="0.3">
      <c r="H366">
        <v>-123</v>
      </c>
      <c r="I366">
        <v>269.75</v>
      </c>
    </row>
    <row r="367" spans="8:9" x14ac:dyDescent="0.3">
      <c r="H367">
        <v>-219</v>
      </c>
      <c r="I367">
        <v>323.25</v>
      </c>
    </row>
    <row r="368" spans="8:9" x14ac:dyDescent="0.3">
      <c r="H368">
        <v>64</v>
      </c>
      <c r="I368">
        <v>796</v>
      </c>
    </row>
    <row r="369" spans="8:9" x14ac:dyDescent="0.3">
      <c r="H369">
        <v>1357</v>
      </c>
      <c r="I369">
        <v>857.25</v>
      </c>
    </row>
    <row r="370" spans="8:9" x14ac:dyDescent="0.3">
      <c r="H370">
        <v>91</v>
      </c>
      <c r="I370">
        <v>654.75</v>
      </c>
    </row>
    <row r="371" spans="8:9" x14ac:dyDescent="0.3">
      <c r="H371">
        <v>1672</v>
      </c>
      <c r="I371">
        <v>760.5</v>
      </c>
    </row>
    <row r="372" spans="8:9" x14ac:dyDescent="0.3">
      <c r="H372">
        <v>309</v>
      </c>
      <c r="I372">
        <v>803.75</v>
      </c>
    </row>
    <row r="373" spans="8:9" x14ac:dyDescent="0.3">
      <c r="H373">
        <v>547</v>
      </c>
      <c r="I373">
        <v>685.5</v>
      </c>
    </row>
    <row r="374" spans="8:9" x14ac:dyDescent="0.3">
      <c r="H374">
        <v>514</v>
      </c>
      <c r="I374">
        <v>656</v>
      </c>
    </row>
    <row r="375" spans="8:9" x14ac:dyDescent="0.3">
      <c r="H375">
        <v>1845</v>
      </c>
      <c r="I375">
        <v>567.5</v>
      </c>
    </row>
    <row r="376" spans="8:9" x14ac:dyDescent="0.3">
      <c r="H376">
        <v>-164</v>
      </c>
      <c r="I376">
        <v>146</v>
      </c>
    </row>
    <row r="377" spans="8:9" x14ac:dyDescent="0.3">
      <c r="H377">
        <v>429</v>
      </c>
      <c r="I377">
        <v>427.25</v>
      </c>
    </row>
    <row r="378" spans="8:9" x14ac:dyDescent="0.3">
      <c r="H378">
        <v>160</v>
      </c>
      <c r="I378">
        <v>649</v>
      </c>
    </row>
    <row r="379" spans="8:9" x14ac:dyDescent="0.3">
      <c r="H379">
        <v>159</v>
      </c>
      <c r="I379">
        <v>688.25</v>
      </c>
    </row>
    <row r="380" spans="8:9" x14ac:dyDescent="0.3">
      <c r="H380">
        <v>961</v>
      </c>
      <c r="I380">
        <v>783.75</v>
      </c>
    </row>
    <row r="381" spans="8:9" x14ac:dyDescent="0.3">
      <c r="H381">
        <v>1316</v>
      </c>
      <c r="I381">
        <v>464</v>
      </c>
    </row>
    <row r="382" spans="8:9" x14ac:dyDescent="0.3">
      <c r="H382">
        <v>317</v>
      </c>
      <c r="I382">
        <v>508.75</v>
      </c>
    </row>
    <row r="383" spans="8:9" x14ac:dyDescent="0.3">
      <c r="H383">
        <v>541</v>
      </c>
      <c r="I383">
        <v>548.25</v>
      </c>
    </row>
    <row r="384" spans="8:9" x14ac:dyDescent="0.3">
      <c r="H384">
        <v>-318</v>
      </c>
      <c r="I384">
        <v>501</v>
      </c>
    </row>
    <row r="385" spans="8:9" x14ac:dyDescent="0.3">
      <c r="H385">
        <v>1495</v>
      </c>
      <c r="I385">
        <v>531.25</v>
      </c>
    </row>
    <row r="386" spans="8:9" x14ac:dyDescent="0.3">
      <c r="H386">
        <v>475</v>
      </c>
      <c r="I386">
        <v>239.5</v>
      </c>
    </row>
    <row r="387" spans="8:9" x14ac:dyDescent="0.3">
      <c r="H387">
        <v>352</v>
      </c>
      <c r="I387">
        <v>200.5</v>
      </c>
    </row>
    <row r="388" spans="8:9" x14ac:dyDescent="0.3">
      <c r="H388">
        <v>-197</v>
      </c>
      <c r="I388">
        <v>443.75</v>
      </c>
    </row>
    <row r="389" spans="8:9" x14ac:dyDescent="0.3">
      <c r="H389">
        <v>328</v>
      </c>
      <c r="I389">
        <v>826.5</v>
      </c>
    </row>
    <row r="390" spans="8:9" x14ac:dyDescent="0.3">
      <c r="H390">
        <v>319</v>
      </c>
      <c r="I390">
        <v>753.75</v>
      </c>
    </row>
    <row r="391" spans="8:9" x14ac:dyDescent="0.3">
      <c r="H391">
        <v>1325</v>
      </c>
      <c r="I391">
        <v>932</v>
      </c>
    </row>
    <row r="392" spans="8:9" x14ac:dyDescent="0.3">
      <c r="H392">
        <v>1334</v>
      </c>
      <c r="I392">
        <v>619.75</v>
      </c>
    </row>
    <row r="393" spans="8:9" x14ac:dyDescent="0.3">
      <c r="H393">
        <v>37</v>
      </c>
      <c r="I393">
        <v>550.75</v>
      </c>
    </row>
    <row r="394" spans="8:9" x14ac:dyDescent="0.3">
      <c r="H394">
        <v>1032</v>
      </c>
      <c r="I394">
        <v>957.75</v>
      </c>
    </row>
    <row r="395" spans="8:9" x14ac:dyDescent="0.3">
      <c r="H395">
        <v>76</v>
      </c>
      <c r="I395">
        <v>747.25</v>
      </c>
    </row>
    <row r="396" spans="8:9" x14ac:dyDescent="0.3">
      <c r="H396">
        <v>1058</v>
      </c>
      <c r="I396">
        <v>1130.5</v>
      </c>
    </row>
    <row r="397" spans="8:9" x14ac:dyDescent="0.3">
      <c r="H397">
        <v>1665</v>
      </c>
      <c r="I397">
        <v>875.25</v>
      </c>
    </row>
    <row r="398" spans="8:9" x14ac:dyDescent="0.3">
      <c r="H398">
        <v>190</v>
      </c>
      <c r="I398">
        <v>766.25</v>
      </c>
    </row>
    <row r="399" spans="8:9" x14ac:dyDescent="0.3">
      <c r="H399">
        <v>1609</v>
      </c>
      <c r="I399">
        <v>725.75</v>
      </c>
    </row>
    <row r="400" spans="8:9" x14ac:dyDescent="0.3">
      <c r="H400">
        <v>37</v>
      </c>
      <c r="I400">
        <v>635.25</v>
      </c>
    </row>
    <row r="401" spans="8:9" x14ac:dyDescent="0.3">
      <c r="H401">
        <v>1229</v>
      </c>
      <c r="I401">
        <v>887.25</v>
      </c>
    </row>
    <row r="402" spans="8:9" x14ac:dyDescent="0.3">
      <c r="H402">
        <v>28</v>
      </c>
      <c r="I402">
        <v>629.25</v>
      </c>
    </row>
    <row r="403" spans="8:9" x14ac:dyDescent="0.3">
      <c r="H403">
        <v>1247</v>
      </c>
      <c r="I403">
        <v>705.5</v>
      </c>
    </row>
    <row r="404" spans="8:9" x14ac:dyDescent="0.3">
      <c r="H404">
        <v>1045</v>
      </c>
      <c r="I404">
        <v>786.75</v>
      </c>
    </row>
    <row r="405" spans="8:9" x14ac:dyDescent="0.3">
      <c r="H405">
        <v>197</v>
      </c>
      <c r="I405">
        <v>882.5</v>
      </c>
    </row>
    <row r="406" spans="8:9" x14ac:dyDescent="0.3">
      <c r="H406">
        <v>333</v>
      </c>
      <c r="I406">
        <v>898.25</v>
      </c>
    </row>
    <row r="407" spans="8:9" x14ac:dyDescent="0.3">
      <c r="H407">
        <v>1572</v>
      </c>
      <c r="I407">
        <v>1090</v>
      </c>
    </row>
    <row r="408" spans="8:9" x14ac:dyDescent="0.3">
      <c r="H408">
        <v>1428</v>
      </c>
      <c r="I408">
        <v>791.25</v>
      </c>
    </row>
    <row r="409" spans="8:9" x14ac:dyDescent="0.3">
      <c r="H409">
        <v>260</v>
      </c>
      <c r="I409">
        <v>458.75</v>
      </c>
    </row>
    <row r="410" spans="8:9" x14ac:dyDescent="0.3">
      <c r="H410">
        <v>1100</v>
      </c>
      <c r="I410">
        <v>675</v>
      </c>
    </row>
    <row r="411" spans="8:9" x14ac:dyDescent="0.3">
      <c r="H411">
        <v>377</v>
      </c>
      <c r="I411">
        <v>392</v>
      </c>
    </row>
    <row r="412" spans="8:9" x14ac:dyDescent="0.3">
      <c r="H412">
        <v>98</v>
      </c>
      <c r="I412">
        <v>464.25</v>
      </c>
    </row>
    <row r="413" spans="8:9" x14ac:dyDescent="0.3">
      <c r="H413">
        <v>1125</v>
      </c>
      <c r="I413">
        <v>435</v>
      </c>
    </row>
    <row r="414" spans="8:9" x14ac:dyDescent="0.3">
      <c r="H414">
        <v>-32</v>
      </c>
      <c r="I414">
        <v>573.75</v>
      </c>
    </row>
    <row r="415" spans="8:9" x14ac:dyDescent="0.3">
      <c r="H415">
        <v>666</v>
      </c>
      <c r="I415">
        <v>833.25</v>
      </c>
    </row>
    <row r="416" spans="8:9" x14ac:dyDescent="0.3">
      <c r="H416">
        <v>-19</v>
      </c>
      <c r="I416">
        <v>923</v>
      </c>
    </row>
    <row r="417" spans="8:9" x14ac:dyDescent="0.3">
      <c r="H417">
        <v>1680</v>
      </c>
      <c r="I417">
        <v>883</v>
      </c>
    </row>
    <row r="418" spans="8:9" x14ac:dyDescent="0.3">
      <c r="H418">
        <v>1006</v>
      </c>
      <c r="I418">
        <v>612.75</v>
      </c>
    </row>
    <row r="419" spans="8:9" x14ac:dyDescent="0.3">
      <c r="H419">
        <v>1025</v>
      </c>
      <c r="I419">
        <v>787.75</v>
      </c>
    </row>
    <row r="420" spans="8:9" x14ac:dyDescent="0.3">
      <c r="H420">
        <v>-179</v>
      </c>
      <c r="I420">
        <v>999.5</v>
      </c>
    </row>
    <row r="421" spans="8:9" x14ac:dyDescent="0.3">
      <c r="H421">
        <v>599</v>
      </c>
      <c r="I421">
        <v>1459.75</v>
      </c>
    </row>
    <row r="422" spans="8:9" x14ac:dyDescent="0.3">
      <c r="H422">
        <v>1706</v>
      </c>
      <c r="I422">
        <v>1336.75</v>
      </c>
    </row>
    <row r="423" spans="8:9" x14ac:dyDescent="0.3">
      <c r="H423">
        <v>1872</v>
      </c>
      <c r="I423">
        <v>939.75</v>
      </c>
    </row>
    <row r="424" spans="8:9" x14ac:dyDescent="0.3">
      <c r="H424">
        <v>1662</v>
      </c>
      <c r="I424">
        <v>777.75</v>
      </c>
    </row>
    <row r="425" spans="8:9" x14ac:dyDescent="0.3">
      <c r="H425">
        <v>107</v>
      </c>
      <c r="I425">
        <v>433.5</v>
      </c>
    </row>
    <row r="426" spans="8:9" x14ac:dyDescent="0.3">
      <c r="H426">
        <v>118</v>
      </c>
      <c r="I426">
        <v>401.75</v>
      </c>
    </row>
    <row r="427" spans="8:9" x14ac:dyDescent="0.3">
      <c r="H427">
        <v>1224</v>
      </c>
      <c r="I427">
        <v>464</v>
      </c>
    </row>
    <row r="428" spans="8:9" x14ac:dyDescent="0.3">
      <c r="H428">
        <v>285</v>
      </c>
      <c r="I428">
        <v>223.5</v>
      </c>
    </row>
    <row r="429" spans="8:9" x14ac:dyDescent="0.3">
      <c r="H429">
        <v>-20</v>
      </c>
      <c r="I429">
        <v>262</v>
      </c>
    </row>
    <row r="430" spans="8:9" x14ac:dyDescent="0.3">
      <c r="H430">
        <v>367</v>
      </c>
      <c r="I430">
        <v>426</v>
      </c>
    </row>
    <row r="431" spans="8:9" x14ac:dyDescent="0.3">
      <c r="H431">
        <v>262</v>
      </c>
      <c r="I431">
        <v>705.25</v>
      </c>
    </row>
    <row r="432" spans="8:9" x14ac:dyDescent="0.3">
      <c r="H432">
        <v>439</v>
      </c>
      <c r="I432">
        <v>783.75</v>
      </c>
    </row>
    <row r="433" spans="8:9" x14ac:dyDescent="0.3">
      <c r="H433">
        <v>636</v>
      </c>
      <c r="I433">
        <v>770.5</v>
      </c>
    </row>
    <row r="434" spans="8:9" x14ac:dyDescent="0.3">
      <c r="H434">
        <v>1484</v>
      </c>
      <c r="I434">
        <v>620.75</v>
      </c>
    </row>
    <row r="435" spans="8:9" x14ac:dyDescent="0.3">
      <c r="H435">
        <v>576</v>
      </c>
      <c r="I435">
        <v>664</v>
      </c>
    </row>
    <row r="436" spans="8:9" x14ac:dyDescent="0.3">
      <c r="H436">
        <v>386</v>
      </c>
      <c r="I436">
        <v>869.25</v>
      </c>
    </row>
    <row r="437" spans="8:9" x14ac:dyDescent="0.3">
      <c r="H437">
        <v>37</v>
      </c>
      <c r="I437">
        <v>907.75</v>
      </c>
    </row>
    <row r="438" spans="8:9" x14ac:dyDescent="0.3">
      <c r="H438">
        <v>1657</v>
      </c>
      <c r="I438">
        <v>1299.25</v>
      </c>
    </row>
    <row r="439" spans="8:9" x14ac:dyDescent="0.3">
      <c r="H439">
        <v>1397</v>
      </c>
      <c r="I439">
        <v>1146</v>
      </c>
    </row>
    <row r="440" spans="8:9" x14ac:dyDescent="0.3">
      <c r="H440">
        <v>540</v>
      </c>
      <c r="I440">
        <v>1022.25</v>
      </c>
    </row>
    <row r="441" spans="8:9" x14ac:dyDescent="0.3">
      <c r="H441">
        <v>1603</v>
      </c>
      <c r="I441">
        <v>860.75</v>
      </c>
    </row>
    <row r="442" spans="8:9" x14ac:dyDescent="0.3">
      <c r="H442">
        <v>1044</v>
      </c>
      <c r="I442">
        <v>747.5</v>
      </c>
    </row>
    <row r="443" spans="8:9" x14ac:dyDescent="0.3">
      <c r="H443">
        <v>902</v>
      </c>
      <c r="I443">
        <v>573.75</v>
      </c>
    </row>
    <row r="444" spans="8:9" x14ac:dyDescent="0.3">
      <c r="H444">
        <v>-106</v>
      </c>
      <c r="I444">
        <v>336</v>
      </c>
    </row>
    <row r="445" spans="8:9" x14ac:dyDescent="0.3">
      <c r="H445">
        <v>1150</v>
      </c>
      <c r="I445">
        <v>380.5</v>
      </c>
    </row>
    <row r="446" spans="8:9" x14ac:dyDescent="0.3">
      <c r="H446">
        <v>349</v>
      </c>
      <c r="I446">
        <v>204.25</v>
      </c>
    </row>
    <row r="447" spans="8:9" x14ac:dyDescent="0.3">
      <c r="H447">
        <v>-49</v>
      </c>
      <c r="I447">
        <v>132</v>
      </c>
    </row>
    <row r="448" spans="8:9" x14ac:dyDescent="0.3">
      <c r="H448">
        <v>72</v>
      </c>
      <c r="I448">
        <v>567.5</v>
      </c>
    </row>
    <row r="449" spans="8:9" x14ac:dyDescent="0.3">
      <c r="H449">
        <v>445</v>
      </c>
      <c r="I449">
        <v>882.5</v>
      </c>
    </row>
    <row r="450" spans="8:9" x14ac:dyDescent="0.3">
      <c r="H450">
        <v>60</v>
      </c>
      <c r="I450">
        <v>795.75</v>
      </c>
    </row>
    <row r="451" spans="8:9" x14ac:dyDescent="0.3">
      <c r="H451">
        <v>1693</v>
      </c>
      <c r="I451">
        <v>1002</v>
      </c>
    </row>
    <row r="452" spans="8:9" x14ac:dyDescent="0.3">
      <c r="H452">
        <v>1332</v>
      </c>
      <c r="I452">
        <v>985</v>
      </c>
    </row>
    <row r="453" spans="8:9" x14ac:dyDescent="0.3">
      <c r="H453">
        <v>98</v>
      </c>
      <c r="I453">
        <v>1078.5</v>
      </c>
    </row>
    <row r="454" spans="8:9" x14ac:dyDescent="0.3">
      <c r="H454">
        <v>885</v>
      </c>
      <c r="I454">
        <v>1347.25</v>
      </c>
    </row>
    <row r="455" spans="8:9" x14ac:dyDescent="0.3">
      <c r="H455">
        <v>1625</v>
      </c>
      <c r="I455">
        <v>1198.75</v>
      </c>
    </row>
    <row r="456" spans="8:9" x14ac:dyDescent="0.3">
      <c r="H456">
        <v>1706</v>
      </c>
      <c r="I456">
        <v>1072.25</v>
      </c>
    </row>
    <row r="457" spans="8:9" x14ac:dyDescent="0.3">
      <c r="H457">
        <v>1173</v>
      </c>
      <c r="I457">
        <v>989</v>
      </c>
    </row>
    <row r="458" spans="8:9" x14ac:dyDescent="0.3">
      <c r="H458">
        <v>291</v>
      </c>
      <c r="I458">
        <v>1127.5</v>
      </c>
    </row>
    <row r="459" spans="8:9" x14ac:dyDescent="0.3">
      <c r="H459">
        <v>1119</v>
      </c>
      <c r="I459">
        <v>1198</v>
      </c>
    </row>
    <row r="460" spans="8:9" x14ac:dyDescent="0.3">
      <c r="H460">
        <v>1373</v>
      </c>
      <c r="I460">
        <v>1276.25</v>
      </c>
    </row>
    <row r="461" spans="8:9" x14ac:dyDescent="0.3">
      <c r="H461">
        <v>1727</v>
      </c>
      <c r="I461">
        <v>1277.25</v>
      </c>
    </row>
    <row r="462" spans="8:9" x14ac:dyDescent="0.3">
      <c r="H462">
        <v>573</v>
      </c>
      <c r="I462">
        <v>1185.25</v>
      </c>
    </row>
    <row r="463" spans="8:9" x14ac:dyDescent="0.3">
      <c r="H463">
        <v>1432</v>
      </c>
      <c r="I463">
        <v>1261</v>
      </c>
    </row>
    <row r="464" spans="8:9" x14ac:dyDescent="0.3">
      <c r="H464">
        <v>1377</v>
      </c>
      <c r="I464">
        <v>1074</v>
      </c>
    </row>
    <row r="465" spans="8:9" x14ac:dyDescent="0.3">
      <c r="H465">
        <v>1359</v>
      </c>
      <c r="I465">
        <v>912.25</v>
      </c>
    </row>
    <row r="466" spans="8:9" x14ac:dyDescent="0.3">
      <c r="H466">
        <v>876</v>
      </c>
      <c r="I466">
        <v>800.25</v>
      </c>
    </row>
    <row r="467" spans="8:9" x14ac:dyDescent="0.3">
      <c r="H467">
        <v>684</v>
      </c>
      <c r="I467">
        <v>978.5</v>
      </c>
    </row>
    <row r="468" spans="8:9" x14ac:dyDescent="0.3">
      <c r="H468">
        <v>730</v>
      </c>
      <c r="I468">
        <v>1248.75</v>
      </c>
    </row>
    <row r="469" spans="8:9" x14ac:dyDescent="0.3">
      <c r="H469">
        <v>911</v>
      </c>
      <c r="I469">
        <v>1510.25</v>
      </c>
    </row>
    <row r="470" spans="8:9" x14ac:dyDescent="0.3">
      <c r="H470">
        <v>1589</v>
      </c>
      <c r="I470">
        <v>1664.75</v>
      </c>
    </row>
    <row r="471" spans="8:9" x14ac:dyDescent="0.3">
      <c r="H471">
        <v>1765</v>
      </c>
      <c r="I471">
        <v>1632.5</v>
      </c>
    </row>
    <row r="472" spans="8:9" x14ac:dyDescent="0.3">
      <c r="H472">
        <v>1776</v>
      </c>
      <c r="I472">
        <v>1417</v>
      </c>
    </row>
    <row r="473" spans="8:9" x14ac:dyDescent="0.3">
      <c r="H473">
        <v>1529</v>
      </c>
      <c r="I473">
        <v>1128</v>
      </c>
    </row>
    <row r="474" spans="8:9" x14ac:dyDescent="0.3">
      <c r="H474">
        <v>1460</v>
      </c>
      <c r="I474">
        <v>1042.75</v>
      </c>
    </row>
    <row r="475" spans="8:9" x14ac:dyDescent="0.3">
      <c r="H475">
        <v>903</v>
      </c>
      <c r="I475">
        <v>889.25</v>
      </c>
    </row>
    <row r="476" spans="8:9" x14ac:dyDescent="0.3">
      <c r="H476">
        <v>620</v>
      </c>
      <c r="I476">
        <v>1094</v>
      </c>
    </row>
    <row r="477" spans="8:9" x14ac:dyDescent="0.3">
      <c r="H477">
        <v>1188</v>
      </c>
      <c r="I477">
        <v>1013.5</v>
      </c>
    </row>
    <row r="478" spans="8:9" x14ac:dyDescent="0.3">
      <c r="H478">
        <v>846</v>
      </c>
      <c r="I478">
        <v>680.5</v>
      </c>
    </row>
    <row r="479" spans="8:9" x14ac:dyDescent="0.3">
      <c r="H479">
        <v>1722</v>
      </c>
      <c r="I479">
        <v>694.25</v>
      </c>
    </row>
    <row r="480" spans="8:9" x14ac:dyDescent="0.3">
      <c r="H480">
        <v>298</v>
      </c>
      <c r="I480">
        <v>656.75</v>
      </c>
    </row>
    <row r="481" spans="8:9" x14ac:dyDescent="0.3">
      <c r="H481">
        <v>-144</v>
      </c>
      <c r="I481">
        <v>689</v>
      </c>
    </row>
    <row r="482" spans="8:9" x14ac:dyDescent="0.3">
      <c r="H482">
        <v>901</v>
      </c>
      <c r="I482">
        <v>947.75</v>
      </c>
    </row>
    <row r="483" spans="8:9" x14ac:dyDescent="0.3">
      <c r="H483">
        <v>1572</v>
      </c>
      <c r="I483">
        <v>903.5</v>
      </c>
    </row>
    <row r="484" spans="8:9" x14ac:dyDescent="0.3">
      <c r="H484">
        <v>427</v>
      </c>
      <c r="I484">
        <v>469</v>
      </c>
    </row>
    <row r="485" spans="8:9" x14ac:dyDescent="0.3">
      <c r="H485">
        <v>891</v>
      </c>
      <c r="I485">
        <v>586.75</v>
      </c>
    </row>
    <row r="486" spans="8:9" x14ac:dyDescent="0.3">
      <c r="H486">
        <v>724</v>
      </c>
      <c r="I486">
        <v>720.5</v>
      </c>
    </row>
    <row r="487" spans="8:9" x14ac:dyDescent="0.3">
      <c r="H487">
        <v>-166</v>
      </c>
      <c r="I487">
        <v>845.75</v>
      </c>
    </row>
    <row r="488" spans="8:9" x14ac:dyDescent="0.3">
      <c r="H488">
        <v>898</v>
      </c>
      <c r="I488">
        <v>1157.25</v>
      </c>
    </row>
    <row r="489" spans="8:9" x14ac:dyDescent="0.3">
      <c r="H489">
        <v>1426</v>
      </c>
      <c r="I489">
        <v>1119.75</v>
      </c>
    </row>
    <row r="490" spans="8:9" x14ac:dyDescent="0.3">
      <c r="H490">
        <v>1225</v>
      </c>
      <c r="I490">
        <v>905.5</v>
      </c>
    </row>
    <row r="491" spans="8:9" x14ac:dyDescent="0.3">
      <c r="H491">
        <v>1080</v>
      </c>
      <c r="I491">
        <v>548.5</v>
      </c>
    </row>
    <row r="492" spans="8:9" x14ac:dyDescent="0.3">
      <c r="H492">
        <v>748</v>
      </c>
      <c r="I492">
        <v>709.25</v>
      </c>
    </row>
    <row r="493" spans="8:9" x14ac:dyDescent="0.3">
      <c r="H493">
        <v>569</v>
      </c>
      <c r="I493">
        <v>750.25</v>
      </c>
    </row>
    <row r="494" spans="8:9" x14ac:dyDescent="0.3">
      <c r="H494">
        <v>-203</v>
      </c>
      <c r="I494">
        <v>908.5</v>
      </c>
    </row>
    <row r="495" spans="8:9" x14ac:dyDescent="0.3">
      <c r="H495">
        <v>1723</v>
      </c>
      <c r="I495">
        <v>1320.25</v>
      </c>
    </row>
    <row r="496" spans="8:9" x14ac:dyDescent="0.3">
      <c r="H496">
        <v>912</v>
      </c>
      <c r="I496">
        <v>1130.75</v>
      </c>
    </row>
    <row r="497" spans="8:9" x14ac:dyDescent="0.3">
      <c r="H497">
        <v>1202</v>
      </c>
      <c r="I497">
        <v>1300.25</v>
      </c>
    </row>
    <row r="498" spans="8:9" x14ac:dyDescent="0.3">
      <c r="H498">
        <v>1444</v>
      </c>
      <c r="I498">
        <v>990.5</v>
      </c>
    </row>
    <row r="499" spans="8:9" x14ac:dyDescent="0.3">
      <c r="H499">
        <v>965</v>
      </c>
      <c r="I499">
        <v>923.25</v>
      </c>
    </row>
    <row r="500" spans="8:9" x14ac:dyDescent="0.3">
      <c r="H500">
        <v>1590</v>
      </c>
      <c r="I500">
        <v>1025.75</v>
      </c>
    </row>
    <row r="501" spans="8:9" x14ac:dyDescent="0.3">
      <c r="H501">
        <v>-37</v>
      </c>
      <c r="I501">
        <v>1055</v>
      </c>
    </row>
    <row r="502" spans="8:9" x14ac:dyDescent="0.3">
      <c r="H502">
        <v>1175</v>
      </c>
      <c r="I502">
        <v>1241.25</v>
      </c>
    </row>
    <row r="503" spans="8:9" x14ac:dyDescent="0.3">
      <c r="H503">
        <v>1375</v>
      </c>
      <c r="I503">
        <v>1201.5</v>
      </c>
    </row>
    <row r="504" spans="8:9" x14ac:dyDescent="0.3">
      <c r="H504">
        <v>1707</v>
      </c>
      <c r="I504">
        <v>1186.5</v>
      </c>
    </row>
    <row r="505" spans="8:9" x14ac:dyDescent="0.3">
      <c r="H505">
        <v>708</v>
      </c>
      <c r="I505">
        <v>730</v>
      </c>
    </row>
    <row r="506" spans="8:9" x14ac:dyDescent="0.3">
      <c r="H506">
        <v>1016</v>
      </c>
      <c r="I506">
        <v>777.75</v>
      </c>
    </row>
    <row r="507" spans="8:9" x14ac:dyDescent="0.3">
      <c r="H507">
        <v>1315</v>
      </c>
      <c r="I507">
        <v>602.5</v>
      </c>
    </row>
    <row r="508" spans="8:9" x14ac:dyDescent="0.3">
      <c r="H508">
        <v>-119</v>
      </c>
      <c r="I508">
        <v>326.75</v>
      </c>
    </row>
    <row r="509" spans="8:9" x14ac:dyDescent="0.3">
      <c r="H509">
        <v>899</v>
      </c>
      <c r="I509">
        <v>583.5</v>
      </c>
    </row>
    <row r="510" spans="8:9" x14ac:dyDescent="0.3">
      <c r="H510">
        <v>315</v>
      </c>
      <c r="I510">
        <v>696.25</v>
      </c>
    </row>
    <row r="511" spans="8:9" x14ac:dyDescent="0.3">
      <c r="H511">
        <v>212</v>
      </c>
      <c r="I511">
        <v>928</v>
      </c>
    </row>
    <row r="512" spans="8:9" x14ac:dyDescent="0.3">
      <c r="H512">
        <v>908</v>
      </c>
      <c r="I512">
        <v>1045</v>
      </c>
    </row>
    <row r="513" spans="8:9" x14ac:dyDescent="0.3">
      <c r="H513">
        <v>1350</v>
      </c>
      <c r="I513">
        <v>1097</v>
      </c>
    </row>
    <row r="514" spans="8:9" x14ac:dyDescent="0.3">
      <c r="H514">
        <v>1242</v>
      </c>
      <c r="I514">
        <v>974.75</v>
      </c>
    </row>
    <row r="515" spans="8:9" x14ac:dyDescent="0.3">
      <c r="H515">
        <v>680</v>
      </c>
      <c r="I515">
        <v>1010.5</v>
      </c>
    </row>
    <row r="516" spans="8:9" x14ac:dyDescent="0.3">
      <c r="H516">
        <v>1116</v>
      </c>
      <c r="I516">
        <v>955.75</v>
      </c>
    </row>
    <row r="517" spans="8:9" x14ac:dyDescent="0.3">
      <c r="H517">
        <v>861</v>
      </c>
      <c r="I517">
        <v>795.25</v>
      </c>
    </row>
    <row r="518" spans="8:9" x14ac:dyDescent="0.3">
      <c r="H518">
        <v>1385</v>
      </c>
      <c r="I518">
        <v>653</v>
      </c>
    </row>
    <row r="519" spans="8:9" x14ac:dyDescent="0.3">
      <c r="H519">
        <v>461</v>
      </c>
      <c r="I519">
        <v>404</v>
      </c>
    </row>
    <row r="520" spans="8:9" x14ac:dyDescent="0.3">
      <c r="H520">
        <v>474</v>
      </c>
      <c r="I520">
        <v>449</v>
      </c>
    </row>
    <row r="521" spans="8:9" x14ac:dyDescent="0.3">
      <c r="H521">
        <v>292</v>
      </c>
      <c r="I521">
        <v>459</v>
      </c>
    </row>
    <row r="522" spans="8:9" x14ac:dyDescent="0.3">
      <c r="H522">
        <v>389</v>
      </c>
      <c r="I522">
        <v>805</v>
      </c>
    </row>
    <row r="523" spans="8:9" x14ac:dyDescent="0.3">
      <c r="H523">
        <v>641</v>
      </c>
      <c r="I523">
        <v>1074.5</v>
      </c>
    </row>
    <row r="524" spans="8:9" x14ac:dyDescent="0.3">
      <c r="H524">
        <v>514</v>
      </c>
      <c r="I524">
        <v>956</v>
      </c>
    </row>
    <row r="525" spans="8:9" x14ac:dyDescent="0.3">
      <c r="H525">
        <v>1676</v>
      </c>
      <c r="I525">
        <v>1084.75</v>
      </c>
    </row>
    <row r="526" spans="8:9" x14ac:dyDescent="0.3">
      <c r="H526">
        <v>1467</v>
      </c>
      <c r="I526">
        <v>917.5</v>
      </c>
    </row>
    <row r="527" spans="8:9" x14ac:dyDescent="0.3">
      <c r="H527">
        <v>167</v>
      </c>
      <c r="I527">
        <v>603</v>
      </c>
    </row>
    <row r="528" spans="8:9" x14ac:dyDescent="0.3">
      <c r="H528">
        <v>1029</v>
      </c>
      <c r="I528">
        <v>521.25</v>
      </c>
    </row>
    <row r="529" spans="8:9" x14ac:dyDescent="0.3">
      <c r="H529">
        <v>1007</v>
      </c>
      <c r="I529">
        <v>220.25</v>
      </c>
    </row>
    <row r="530" spans="8:9" x14ac:dyDescent="0.3">
      <c r="H530">
        <v>209</v>
      </c>
      <c r="I530">
        <v>-18.25</v>
      </c>
    </row>
    <row r="531" spans="8:9" x14ac:dyDescent="0.3">
      <c r="H531">
        <v>-160</v>
      </c>
      <c r="I531">
        <v>-34.25</v>
      </c>
    </row>
    <row r="532" spans="8:9" x14ac:dyDescent="0.3">
      <c r="H532">
        <v>-175</v>
      </c>
      <c r="I532">
        <v>156.5</v>
      </c>
    </row>
    <row r="533" spans="8:9" x14ac:dyDescent="0.3">
      <c r="H533">
        <v>53</v>
      </c>
      <c r="I533">
        <v>461.5</v>
      </c>
    </row>
    <row r="534" spans="8:9" x14ac:dyDescent="0.3">
      <c r="H534">
        <v>145</v>
      </c>
      <c r="I534">
        <v>638</v>
      </c>
    </row>
    <row r="535" spans="8:9" x14ac:dyDescent="0.3">
      <c r="H535">
        <v>603</v>
      </c>
      <c r="I535">
        <v>1010</v>
      </c>
    </row>
    <row r="536" spans="8:9" x14ac:dyDescent="0.3">
      <c r="H536">
        <v>1045</v>
      </c>
      <c r="I536">
        <v>1244</v>
      </c>
    </row>
    <row r="537" spans="8:9" x14ac:dyDescent="0.3">
      <c r="H537">
        <v>759</v>
      </c>
      <c r="I537">
        <v>1096</v>
      </c>
    </row>
    <row r="538" spans="8:9" x14ac:dyDescent="0.3">
      <c r="H538">
        <v>1633</v>
      </c>
      <c r="I538">
        <v>1143.25</v>
      </c>
    </row>
    <row r="539" spans="8:9" x14ac:dyDescent="0.3">
      <c r="H539">
        <v>1539</v>
      </c>
      <c r="I539">
        <v>894.25</v>
      </c>
    </row>
    <row r="540" spans="8:9" x14ac:dyDescent="0.3">
      <c r="H540">
        <v>453</v>
      </c>
      <c r="I540">
        <v>979.75</v>
      </c>
    </row>
    <row r="541" spans="8:9" x14ac:dyDescent="0.3">
      <c r="H541">
        <v>948</v>
      </c>
      <c r="I541">
        <v>951.25</v>
      </c>
    </row>
    <row r="542" spans="8:9" x14ac:dyDescent="0.3">
      <c r="H542">
        <v>637</v>
      </c>
      <c r="I542">
        <v>1091.75</v>
      </c>
    </row>
    <row r="543" spans="8:9" x14ac:dyDescent="0.3">
      <c r="H543">
        <v>1881</v>
      </c>
      <c r="I543">
        <v>1148.5</v>
      </c>
    </row>
    <row r="544" spans="8:9" x14ac:dyDescent="0.3">
      <c r="H544">
        <v>339</v>
      </c>
      <c r="I544">
        <v>1092.25</v>
      </c>
    </row>
    <row r="545" spans="8:9" x14ac:dyDescent="0.3">
      <c r="H545">
        <v>1510</v>
      </c>
      <c r="I545">
        <v>1109.25</v>
      </c>
    </row>
    <row r="546" spans="8:9" x14ac:dyDescent="0.3">
      <c r="H546">
        <v>864</v>
      </c>
      <c r="I546">
        <v>799</v>
      </c>
    </row>
    <row r="547" spans="8:9" x14ac:dyDescent="0.3">
      <c r="H547">
        <v>1656</v>
      </c>
      <c r="I547">
        <v>498.75</v>
      </c>
    </row>
    <row r="548" spans="8:9" x14ac:dyDescent="0.3">
      <c r="H548">
        <v>407</v>
      </c>
      <c r="I548">
        <v>113</v>
      </c>
    </row>
    <row r="549" spans="8:9" x14ac:dyDescent="0.3">
      <c r="H549">
        <v>269</v>
      </c>
      <c r="I549">
        <v>-34</v>
      </c>
    </row>
    <row r="550" spans="8:9" x14ac:dyDescent="0.3">
      <c r="H550">
        <v>-337</v>
      </c>
      <c r="I550">
        <v>-337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BC0D-76B4-4C7F-8960-0E96BF1280B8}">
  <dimension ref="A1:O149"/>
  <sheetViews>
    <sheetView zoomScale="75" workbookViewId="0">
      <selection activeCell="H6" sqref="H6"/>
    </sheetView>
  </sheetViews>
  <sheetFormatPr defaultRowHeight="14.4" x14ac:dyDescent="0.3"/>
  <cols>
    <col min="1" max="1" width="18.109375" customWidth="1"/>
    <col min="2" max="2" width="14.77734375" customWidth="1"/>
    <col min="3" max="3" width="12.109375" customWidth="1"/>
    <col min="4" max="4" width="15" customWidth="1"/>
    <col min="5" max="5" width="13.77734375" customWidth="1"/>
    <col min="12" max="12" width="17" customWidth="1"/>
    <col min="15" max="15" width="12.44140625" customWidth="1"/>
    <col min="16" max="16" width="13.33203125" customWidth="1"/>
  </cols>
  <sheetData>
    <row r="1" spans="1:4" ht="15" thickBot="1" x14ac:dyDescent="0.35">
      <c r="A1" s="11" t="s">
        <v>57</v>
      </c>
      <c r="B1" s="12" t="s">
        <v>63</v>
      </c>
      <c r="C1" s="12" t="s">
        <v>62</v>
      </c>
      <c r="D1" s="85" t="s">
        <v>58</v>
      </c>
    </row>
    <row r="2" spans="1:4" ht="15" thickTop="1" x14ac:dyDescent="0.3">
      <c r="A2" s="5">
        <v>45446</v>
      </c>
      <c r="B2" s="7" t="s">
        <v>1</v>
      </c>
      <c r="C2" s="7">
        <v>9566</v>
      </c>
      <c r="D2" s="8">
        <v>1002</v>
      </c>
    </row>
    <row r="3" spans="1:4" x14ac:dyDescent="0.3">
      <c r="A3" s="5">
        <v>45453</v>
      </c>
      <c r="B3" s="7" t="s">
        <v>1</v>
      </c>
      <c r="C3" s="7">
        <v>7924</v>
      </c>
      <c r="D3" s="8">
        <v>1283</v>
      </c>
    </row>
    <row r="4" spans="1:4" x14ac:dyDescent="0.3">
      <c r="A4" s="5">
        <v>45460</v>
      </c>
      <c r="B4" s="7" t="s">
        <v>1</v>
      </c>
      <c r="C4" s="7">
        <v>46670</v>
      </c>
      <c r="D4" s="8">
        <v>1382</v>
      </c>
    </row>
    <row r="5" spans="1:4" x14ac:dyDescent="0.3">
      <c r="A5" s="5">
        <v>45467</v>
      </c>
      <c r="B5" s="7" t="s">
        <v>1</v>
      </c>
      <c r="C5" s="7">
        <v>30635</v>
      </c>
      <c r="D5" s="8">
        <v>1670</v>
      </c>
    </row>
    <row r="6" spans="1:4" x14ac:dyDescent="0.3">
      <c r="A6" s="5">
        <v>45474</v>
      </c>
      <c r="B6" s="7" t="s">
        <v>1</v>
      </c>
      <c r="C6" s="7">
        <v>42307</v>
      </c>
      <c r="D6" s="8">
        <v>64</v>
      </c>
    </row>
    <row r="7" spans="1:4" x14ac:dyDescent="0.3">
      <c r="A7" s="5">
        <v>45481</v>
      </c>
      <c r="B7" s="7" t="s">
        <v>1</v>
      </c>
      <c r="C7" s="7">
        <v>38610</v>
      </c>
      <c r="D7" s="8">
        <v>309</v>
      </c>
    </row>
    <row r="8" spans="1:4" x14ac:dyDescent="0.3">
      <c r="A8" s="5">
        <v>45488</v>
      </c>
      <c r="B8" s="7" t="s">
        <v>1</v>
      </c>
      <c r="C8" s="7">
        <v>43420</v>
      </c>
      <c r="D8" s="8">
        <v>-164</v>
      </c>
    </row>
    <row r="9" spans="1:4" x14ac:dyDescent="0.3">
      <c r="A9" s="5">
        <v>45495</v>
      </c>
      <c r="B9" s="7" t="s">
        <v>1</v>
      </c>
      <c r="C9" s="7">
        <v>26067</v>
      </c>
      <c r="D9" s="8">
        <v>961</v>
      </c>
    </row>
    <row r="10" spans="1:4" x14ac:dyDescent="0.3">
      <c r="A10" s="5">
        <v>45502</v>
      </c>
      <c r="B10" s="7" t="s">
        <v>1</v>
      </c>
      <c r="C10" s="7">
        <v>4839</v>
      </c>
      <c r="D10" s="8">
        <v>-318</v>
      </c>
    </row>
    <row r="11" spans="1:4" x14ac:dyDescent="0.3">
      <c r="A11" s="5">
        <v>45509</v>
      </c>
      <c r="B11" s="7" t="s">
        <v>1</v>
      </c>
      <c r="C11" s="7">
        <v>26455</v>
      </c>
      <c r="D11" s="8">
        <v>-197</v>
      </c>
    </row>
    <row r="12" spans="1:4" x14ac:dyDescent="0.3">
      <c r="A12" s="5">
        <v>45516</v>
      </c>
      <c r="B12" s="7" t="s">
        <v>1</v>
      </c>
      <c r="C12" s="7">
        <v>37903</v>
      </c>
      <c r="D12" s="8">
        <v>1334</v>
      </c>
    </row>
    <row r="13" spans="1:4" x14ac:dyDescent="0.3">
      <c r="A13" s="5">
        <v>45523</v>
      </c>
      <c r="B13" s="7" t="s">
        <v>1</v>
      </c>
      <c r="C13" s="7">
        <v>14203</v>
      </c>
      <c r="D13" s="8">
        <v>1058</v>
      </c>
    </row>
    <row r="14" spans="1:4" x14ac:dyDescent="0.3">
      <c r="A14" s="5">
        <v>45530</v>
      </c>
      <c r="B14" s="7" t="s">
        <v>1</v>
      </c>
      <c r="C14" s="7">
        <v>26925</v>
      </c>
      <c r="D14" s="8">
        <v>37</v>
      </c>
    </row>
    <row r="15" spans="1:4" x14ac:dyDescent="0.3">
      <c r="A15" s="5">
        <v>45537</v>
      </c>
      <c r="B15" s="7" t="s">
        <v>1</v>
      </c>
      <c r="C15" s="7">
        <v>24384</v>
      </c>
      <c r="D15" s="8">
        <v>1045</v>
      </c>
    </row>
    <row r="16" spans="1:4" x14ac:dyDescent="0.3">
      <c r="A16" s="5">
        <v>45544</v>
      </c>
      <c r="B16" s="7" t="s">
        <v>1</v>
      </c>
      <c r="C16" s="7">
        <v>40478</v>
      </c>
      <c r="D16" s="8">
        <v>1428</v>
      </c>
    </row>
    <row r="17" spans="1:4" x14ac:dyDescent="0.3">
      <c r="A17" s="5">
        <v>45551</v>
      </c>
      <c r="B17" s="7" t="s">
        <v>1</v>
      </c>
      <c r="C17" s="7">
        <v>47462</v>
      </c>
      <c r="D17" s="8">
        <v>98</v>
      </c>
    </row>
    <row r="18" spans="1:4" x14ac:dyDescent="0.3">
      <c r="A18" s="5">
        <v>45558</v>
      </c>
      <c r="B18" s="7" t="s">
        <v>1</v>
      </c>
      <c r="C18" s="7">
        <v>11901</v>
      </c>
      <c r="D18" s="8">
        <v>-19</v>
      </c>
    </row>
    <row r="19" spans="1:4" x14ac:dyDescent="0.3">
      <c r="A19" s="5">
        <v>45565</v>
      </c>
      <c r="B19" s="7" t="s">
        <v>1</v>
      </c>
      <c r="C19" s="7">
        <v>2315</v>
      </c>
      <c r="D19" s="8">
        <v>-179</v>
      </c>
    </row>
    <row r="20" spans="1:4" x14ac:dyDescent="0.3">
      <c r="A20" s="5">
        <v>45572</v>
      </c>
      <c r="B20" s="7" t="s">
        <v>1</v>
      </c>
      <c r="C20" s="7">
        <v>43836</v>
      </c>
      <c r="D20" s="8">
        <v>1662</v>
      </c>
    </row>
    <row r="21" spans="1:4" x14ac:dyDescent="0.3">
      <c r="A21" s="5">
        <v>45579</v>
      </c>
      <c r="B21" s="7" t="s">
        <v>1</v>
      </c>
      <c r="C21" s="7">
        <v>7285</v>
      </c>
      <c r="D21" s="8">
        <v>285</v>
      </c>
    </row>
    <row r="22" spans="1:4" x14ac:dyDescent="0.3">
      <c r="A22" s="5">
        <v>45586</v>
      </c>
      <c r="B22" s="7" t="s">
        <v>1</v>
      </c>
      <c r="C22" s="7">
        <v>42824</v>
      </c>
      <c r="D22" s="8">
        <v>439</v>
      </c>
    </row>
    <row r="23" spans="1:4" x14ac:dyDescent="0.3">
      <c r="A23" s="5">
        <v>45593</v>
      </c>
      <c r="B23" s="7" t="s">
        <v>1</v>
      </c>
      <c r="C23" s="7">
        <v>30214</v>
      </c>
      <c r="D23" s="8">
        <v>386</v>
      </c>
    </row>
    <row r="24" spans="1:4" x14ac:dyDescent="0.3">
      <c r="A24" s="5">
        <v>45600</v>
      </c>
      <c r="B24" s="7" t="s">
        <v>1</v>
      </c>
      <c r="C24" s="7">
        <v>4996</v>
      </c>
      <c r="D24" s="8">
        <v>540</v>
      </c>
    </row>
    <row r="25" spans="1:4" x14ac:dyDescent="0.3">
      <c r="A25" s="5">
        <v>45607</v>
      </c>
      <c r="B25" s="7" t="s">
        <v>1</v>
      </c>
      <c r="C25" s="7">
        <v>38452</v>
      </c>
      <c r="D25" s="8">
        <v>-106</v>
      </c>
    </row>
    <row r="26" spans="1:4" x14ac:dyDescent="0.3">
      <c r="A26" s="5">
        <v>45614</v>
      </c>
      <c r="B26" s="7" t="s">
        <v>1</v>
      </c>
      <c r="C26" s="7">
        <v>39997</v>
      </c>
      <c r="D26" s="8">
        <v>72</v>
      </c>
    </row>
    <row r="27" spans="1:4" x14ac:dyDescent="0.3">
      <c r="A27" s="5">
        <v>45621</v>
      </c>
      <c r="B27" s="7" t="s">
        <v>1</v>
      </c>
      <c r="C27" s="7">
        <v>28498</v>
      </c>
      <c r="D27" s="8">
        <v>1332</v>
      </c>
    </row>
    <row r="28" spans="1:4" x14ac:dyDescent="0.3">
      <c r="A28" s="5">
        <v>45628</v>
      </c>
      <c r="B28" s="7" t="s">
        <v>1</v>
      </c>
      <c r="C28" s="7">
        <v>26103</v>
      </c>
      <c r="D28" s="8">
        <v>1706</v>
      </c>
    </row>
    <row r="29" spans="1:4" x14ac:dyDescent="0.3">
      <c r="A29" s="5">
        <v>45635</v>
      </c>
      <c r="B29" s="7" t="s">
        <v>1</v>
      </c>
      <c r="C29" s="7">
        <v>18601</v>
      </c>
      <c r="D29" s="8">
        <v>1373</v>
      </c>
    </row>
    <row r="30" spans="1:4" x14ac:dyDescent="0.3">
      <c r="A30" s="5">
        <v>45642</v>
      </c>
      <c r="B30" s="7" t="s">
        <v>1</v>
      </c>
      <c r="C30" s="7">
        <v>18656</v>
      </c>
      <c r="D30" s="8">
        <v>1377</v>
      </c>
    </row>
    <row r="31" spans="1:4" x14ac:dyDescent="0.3">
      <c r="A31" s="5">
        <v>45649</v>
      </c>
      <c r="B31" s="7" t="s">
        <v>1</v>
      </c>
      <c r="C31" s="7">
        <v>47502</v>
      </c>
      <c r="D31" s="8">
        <v>730</v>
      </c>
    </row>
    <row r="32" spans="1:4" x14ac:dyDescent="0.3">
      <c r="A32" s="5">
        <v>45656</v>
      </c>
      <c r="B32" s="7" t="s">
        <v>1</v>
      </c>
      <c r="C32" s="7">
        <v>25140</v>
      </c>
      <c r="D32" s="8">
        <v>1776</v>
      </c>
    </row>
    <row r="33" spans="1:4" x14ac:dyDescent="0.3">
      <c r="A33" s="5">
        <v>45663</v>
      </c>
      <c r="B33" s="7" t="s">
        <v>1</v>
      </c>
      <c r="C33" s="7">
        <v>17951</v>
      </c>
      <c r="D33" s="8">
        <v>620</v>
      </c>
    </row>
    <row r="34" spans="1:4" x14ac:dyDescent="0.3">
      <c r="A34" s="5">
        <v>45670</v>
      </c>
      <c r="B34" s="7" t="s">
        <v>1</v>
      </c>
      <c r="C34" s="7">
        <v>45708</v>
      </c>
      <c r="D34" s="8">
        <v>298</v>
      </c>
    </row>
    <row r="35" spans="1:4" x14ac:dyDescent="0.3">
      <c r="A35" s="5">
        <v>45677</v>
      </c>
      <c r="B35" s="7" t="s">
        <v>1</v>
      </c>
      <c r="C35" s="7">
        <v>23853</v>
      </c>
      <c r="D35" s="8">
        <v>427</v>
      </c>
    </row>
    <row r="36" spans="1:4" x14ac:dyDescent="0.3">
      <c r="A36" s="5">
        <v>45684</v>
      </c>
      <c r="B36" s="7" t="s">
        <v>1</v>
      </c>
      <c r="C36" s="7">
        <v>20560</v>
      </c>
      <c r="D36" s="8">
        <v>898</v>
      </c>
    </row>
    <row r="37" spans="1:4" x14ac:dyDescent="0.3">
      <c r="A37" s="5">
        <v>45691</v>
      </c>
      <c r="B37" s="7" t="s">
        <v>1</v>
      </c>
      <c r="C37" s="7">
        <v>40323</v>
      </c>
      <c r="D37" s="8">
        <v>748</v>
      </c>
    </row>
    <row r="38" spans="1:4" x14ac:dyDescent="0.3">
      <c r="A38" s="5">
        <v>45698</v>
      </c>
      <c r="B38" s="7" t="s">
        <v>1</v>
      </c>
      <c r="C38" s="7">
        <v>23489</v>
      </c>
      <c r="D38" s="8">
        <v>912</v>
      </c>
    </row>
    <row r="39" spans="1:4" x14ac:dyDescent="0.3">
      <c r="A39" s="5">
        <v>45705</v>
      </c>
      <c r="B39" s="7" t="s">
        <v>1</v>
      </c>
      <c r="C39" s="7">
        <v>31853</v>
      </c>
      <c r="D39" s="8">
        <v>1590</v>
      </c>
    </row>
    <row r="40" spans="1:4" x14ac:dyDescent="0.3">
      <c r="A40" s="5">
        <v>45712</v>
      </c>
      <c r="B40" s="7" t="s">
        <v>1</v>
      </c>
      <c r="C40" s="7">
        <v>22713</v>
      </c>
      <c r="D40" s="8">
        <v>1707</v>
      </c>
    </row>
    <row r="41" spans="1:4" x14ac:dyDescent="0.3">
      <c r="A41" s="5">
        <v>45719</v>
      </c>
      <c r="B41" s="7" t="s">
        <v>1</v>
      </c>
      <c r="C41" s="7">
        <v>20553</v>
      </c>
      <c r="D41" s="8">
        <v>-119</v>
      </c>
    </row>
    <row r="42" spans="1:4" x14ac:dyDescent="0.3">
      <c r="A42" s="5">
        <v>45726</v>
      </c>
      <c r="B42" s="7" t="s">
        <v>1</v>
      </c>
      <c r="C42" s="7">
        <v>21539</v>
      </c>
      <c r="D42" s="8">
        <v>908</v>
      </c>
    </row>
    <row r="43" spans="1:4" x14ac:dyDescent="0.3">
      <c r="A43" s="5">
        <v>45733</v>
      </c>
      <c r="B43" s="7" t="s">
        <v>1</v>
      </c>
      <c r="C43" s="7">
        <v>29116</v>
      </c>
      <c r="D43" s="8">
        <v>1116</v>
      </c>
    </row>
    <row r="44" spans="1:4" x14ac:dyDescent="0.3">
      <c r="A44" s="5">
        <v>45740</v>
      </c>
      <c r="B44" s="7" t="s">
        <v>1</v>
      </c>
      <c r="C44" s="7">
        <v>21453</v>
      </c>
      <c r="D44" s="8">
        <v>474</v>
      </c>
    </row>
    <row r="45" spans="1:4" x14ac:dyDescent="0.3">
      <c r="A45" s="5">
        <v>45747</v>
      </c>
      <c r="B45" s="7" t="s">
        <v>1</v>
      </c>
      <c r="C45" s="7">
        <v>23461</v>
      </c>
      <c r="D45" s="8">
        <v>514</v>
      </c>
    </row>
    <row r="46" spans="1:4" x14ac:dyDescent="0.3">
      <c r="A46" s="5">
        <v>45754</v>
      </c>
      <c r="B46" s="7" t="s">
        <v>1</v>
      </c>
      <c r="C46" s="7">
        <v>47603</v>
      </c>
      <c r="D46" s="8">
        <v>1029</v>
      </c>
    </row>
    <row r="47" spans="1:4" x14ac:dyDescent="0.3">
      <c r="A47" s="5">
        <v>45761</v>
      </c>
      <c r="B47" s="7" t="s">
        <v>1</v>
      </c>
      <c r="C47" s="7">
        <v>25920</v>
      </c>
      <c r="D47" s="8">
        <v>-175</v>
      </c>
    </row>
    <row r="48" spans="1:4" x14ac:dyDescent="0.3">
      <c r="A48" s="5">
        <v>45768</v>
      </c>
      <c r="B48" s="7" t="s">
        <v>1</v>
      </c>
      <c r="C48" s="7">
        <v>7875</v>
      </c>
      <c r="D48" s="8">
        <v>1045</v>
      </c>
    </row>
    <row r="49" spans="1:4" x14ac:dyDescent="0.3">
      <c r="A49" s="5">
        <v>45775</v>
      </c>
      <c r="B49" s="7" t="s">
        <v>1</v>
      </c>
      <c r="C49" s="7">
        <v>3582</v>
      </c>
      <c r="D49" s="8">
        <v>453</v>
      </c>
    </row>
    <row r="50" spans="1:4" x14ac:dyDescent="0.3">
      <c r="A50" s="5">
        <v>45782</v>
      </c>
      <c r="B50" s="7" t="s">
        <v>1</v>
      </c>
      <c r="C50" s="7">
        <v>48419</v>
      </c>
      <c r="D50" s="8">
        <v>339</v>
      </c>
    </row>
    <row r="51" spans="1:4" x14ac:dyDescent="0.3">
      <c r="A51" s="6">
        <v>45789</v>
      </c>
      <c r="B51" s="86" t="s">
        <v>1</v>
      </c>
      <c r="C51" s="86">
        <v>49400</v>
      </c>
      <c r="D51" s="9">
        <v>407</v>
      </c>
    </row>
    <row r="99" spans="12:15" ht="15" thickBot="1" x14ac:dyDescent="0.35">
      <c r="L99" s="11" t="s">
        <v>57</v>
      </c>
      <c r="M99" s="12" t="s">
        <v>63</v>
      </c>
      <c r="N99" s="12" t="s">
        <v>62</v>
      </c>
      <c r="O99" s="12" t="s">
        <v>58</v>
      </c>
    </row>
    <row r="100" spans="12:15" ht="15" thickTop="1" x14ac:dyDescent="0.3">
      <c r="L100" s="5">
        <v>45446</v>
      </c>
      <c r="M100" s="7" t="s">
        <v>1</v>
      </c>
      <c r="N100" s="7">
        <v>9566</v>
      </c>
      <c r="O100" s="7">
        <v>1002</v>
      </c>
    </row>
    <row r="101" spans="12:15" x14ac:dyDescent="0.3">
      <c r="L101" s="5">
        <v>45453</v>
      </c>
      <c r="M101" s="7" t="s">
        <v>1</v>
      </c>
      <c r="N101" s="7">
        <v>7924</v>
      </c>
      <c r="O101" s="7">
        <v>1283</v>
      </c>
    </row>
    <row r="102" spans="12:15" x14ac:dyDescent="0.3">
      <c r="L102" s="5">
        <v>45460</v>
      </c>
      <c r="M102" s="7" t="s">
        <v>1</v>
      </c>
      <c r="N102" s="7">
        <v>46670</v>
      </c>
      <c r="O102" s="7">
        <v>1382</v>
      </c>
    </row>
    <row r="103" spans="12:15" x14ac:dyDescent="0.3">
      <c r="L103" s="5">
        <v>45467</v>
      </c>
      <c r="M103" s="7" t="s">
        <v>1</v>
      </c>
      <c r="N103" s="7">
        <v>30635</v>
      </c>
      <c r="O103" s="7">
        <v>1670</v>
      </c>
    </row>
    <row r="104" spans="12:15" x14ac:dyDescent="0.3">
      <c r="L104" s="5">
        <v>45474</v>
      </c>
      <c r="M104" s="7" t="s">
        <v>1</v>
      </c>
      <c r="N104" s="7">
        <v>42307</v>
      </c>
      <c r="O104" s="7">
        <v>64</v>
      </c>
    </row>
    <row r="105" spans="12:15" x14ac:dyDescent="0.3">
      <c r="L105" s="5">
        <v>45481</v>
      </c>
      <c r="M105" s="7" t="s">
        <v>1</v>
      </c>
      <c r="N105" s="7">
        <v>38610</v>
      </c>
      <c r="O105" s="7">
        <v>309</v>
      </c>
    </row>
    <row r="106" spans="12:15" x14ac:dyDescent="0.3">
      <c r="L106" s="5">
        <v>45488</v>
      </c>
      <c r="M106" s="7" t="s">
        <v>1</v>
      </c>
      <c r="N106" s="7">
        <v>43420</v>
      </c>
      <c r="O106" s="7">
        <v>-164</v>
      </c>
    </row>
    <row r="107" spans="12:15" x14ac:dyDescent="0.3">
      <c r="L107" s="5">
        <v>45495</v>
      </c>
      <c r="M107" s="7" t="s">
        <v>1</v>
      </c>
      <c r="N107" s="7">
        <v>26067</v>
      </c>
      <c r="O107" s="7">
        <v>961</v>
      </c>
    </row>
    <row r="108" spans="12:15" x14ac:dyDescent="0.3">
      <c r="L108" s="5">
        <v>45502</v>
      </c>
      <c r="M108" s="7" t="s">
        <v>1</v>
      </c>
      <c r="N108" s="7">
        <v>4839</v>
      </c>
      <c r="O108" s="7">
        <v>-318</v>
      </c>
    </row>
    <row r="109" spans="12:15" x14ac:dyDescent="0.3">
      <c r="L109" s="5">
        <v>45509</v>
      </c>
      <c r="M109" s="7" t="s">
        <v>1</v>
      </c>
      <c r="N109" s="7">
        <v>26455</v>
      </c>
      <c r="O109" s="7">
        <v>-197</v>
      </c>
    </row>
    <row r="110" spans="12:15" x14ac:dyDescent="0.3">
      <c r="L110" s="5">
        <v>45516</v>
      </c>
      <c r="M110" s="7" t="s">
        <v>1</v>
      </c>
      <c r="N110" s="7">
        <v>37903</v>
      </c>
      <c r="O110" s="7">
        <v>1334</v>
      </c>
    </row>
    <row r="111" spans="12:15" x14ac:dyDescent="0.3">
      <c r="L111" s="5">
        <v>45523</v>
      </c>
      <c r="M111" s="7" t="s">
        <v>1</v>
      </c>
      <c r="N111" s="7">
        <v>14203</v>
      </c>
      <c r="O111" s="7">
        <v>1058</v>
      </c>
    </row>
    <row r="112" spans="12:15" x14ac:dyDescent="0.3">
      <c r="L112" s="5">
        <v>45530</v>
      </c>
      <c r="M112" s="7" t="s">
        <v>1</v>
      </c>
      <c r="N112" s="7">
        <v>26925</v>
      </c>
      <c r="O112" s="7">
        <v>37</v>
      </c>
    </row>
    <row r="113" spans="12:15" x14ac:dyDescent="0.3">
      <c r="L113" s="5">
        <v>45537</v>
      </c>
      <c r="M113" s="7" t="s">
        <v>1</v>
      </c>
      <c r="N113" s="7">
        <v>24384</v>
      </c>
      <c r="O113" s="7">
        <v>1045</v>
      </c>
    </row>
    <row r="114" spans="12:15" x14ac:dyDescent="0.3">
      <c r="L114" s="5">
        <v>45544</v>
      </c>
      <c r="M114" s="7" t="s">
        <v>1</v>
      </c>
      <c r="N114" s="7">
        <v>40478</v>
      </c>
      <c r="O114" s="7">
        <v>1428</v>
      </c>
    </row>
    <row r="115" spans="12:15" x14ac:dyDescent="0.3">
      <c r="L115" s="5">
        <v>45551</v>
      </c>
      <c r="M115" s="7" t="s">
        <v>1</v>
      </c>
      <c r="N115" s="7">
        <v>47462</v>
      </c>
      <c r="O115" s="7">
        <v>98</v>
      </c>
    </row>
    <row r="116" spans="12:15" x14ac:dyDescent="0.3">
      <c r="L116" s="5">
        <v>45558</v>
      </c>
      <c r="M116" s="7" t="s">
        <v>1</v>
      </c>
      <c r="N116" s="7">
        <v>11901</v>
      </c>
      <c r="O116" s="7">
        <v>-19</v>
      </c>
    </row>
    <row r="117" spans="12:15" x14ac:dyDescent="0.3">
      <c r="L117" s="5">
        <v>45565</v>
      </c>
      <c r="M117" s="7" t="s">
        <v>1</v>
      </c>
      <c r="N117" s="7">
        <v>2315</v>
      </c>
      <c r="O117" s="7">
        <v>-179</v>
      </c>
    </row>
    <row r="118" spans="12:15" x14ac:dyDescent="0.3">
      <c r="L118" s="5">
        <v>45572</v>
      </c>
      <c r="M118" s="7" t="s">
        <v>1</v>
      </c>
      <c r="N118" s="7">
        <v>43836</v>
      </c>
      <c r="O118" s="7">
        <v>1662</v>
      </c>
    </row>
    <row r="119" spans="12:15" x14ac:dyDescent="0.3">
      <c r="L119" s="5">
        <v>45579</v>
      </c>
      <c r="M119" s="7" t="s">
        <v>1</v>
      </c>
      <c r="N119" s="7">
        <v>7285</v>
      </c>
      <c r="O119" s="7">
        <v>285</v>
      </c>
    </row>
    <row r="120" spans="12:15" x14ac:dyDescent="0.3">
      <c r="L120" s="5">
        <v>45586</v>
      </c>
      <c r="M120" s="7" t="s">
        <v>1</v>
      </c>
      <c r="N120" s="7">
        <v>42824</v>
      </c>
      <c r="O120" s="7">
        <v>439</v>
      </c>
    </row>
    <row r="121" spans="12:15" x14ac:dyDescent="0.3">
      <c r="L121" s="5">
        <v>45593</v>
      </c>
      <c r="M121" s="7" t="s">
        <v>1</v>
      </c>
      <c r="N121" s="7">
        <v>30214</v>
      </c>
      <c r="O121" s="7">
        <v>386</v>
      </c>
    </row>
    <row r="122" spans="12:15" x14ac:dyDescent="0.3">
      <c r="L122" s="5">
        <v>45600</v>
      </c>
      <c r="M122" s="7" t="s">
        <v>1</v>
      </c>
      <c r="N122" s="7">
        <v>4996</v>
      </c>
      <c r="O122" s="7">
        <v>540</v>
      </c>
    </row>
    <row r="123" spans="12:15" x14ac:dyDescent="0.3">
      <c r="L123" s="5">
        <v>45607</v>
      </c>
      <c r="M123" s="7" t="s">
        <v>1</v>
      </c>
      <c r="N123" s="7">
        <v>38452</v>
      </c>
      <c r="O123" s="7">
        <v>-106</v>
      </c>
    </row>
    <row r="124" spans="12:15" x14ac:dyDescent="0.3">
      <c r="L124" s="5">
        <v>45614</v>
      </c>
      <c r="M124" s="7" t="s">
        <v>1</v>
      </c>
      <c r="N124" s="7">
        <v>39997</v>
      </c>
      <c r="O124" s="7">
        <v>72</v>
      </c>
    </row>
    <row r="125" spans="12:15" x14ac:dyDescent="0.3">
      <c r="L125" s="5">
        <v>45621</v>
      </c>
      <c r="M125" s="7" t="s">
        <v>1</v>
      </c>
      <c r="N125" s="7">
        <v>28498</v>
      </c>
      <c r="O125" s="7">
        <v>1332</v>
      </c>
    </row>
    <row r="126" spans="12:15" x14ac:dyDescent="0.3">
      <c r="L126" s="5">
        <v>45628</v>
      </c>
      <c r="M126" s="7" t="s">
        <v>1</v>
      </c>
      <c r="N126" s="7">
        <v>26103</v>
      </c>
      <c r="O126" s="7">
        <v>1706</v>
      </c>
    </row>
    <row r="127" spans="12:15" x14ac:dyDescent="0.3">
      <c r="L127" s="5">
        <v>45635</v>
      </c>
      <c r="M127" s="7" t="s">
        <v>1</v>
      </c>
      <c r="N127" s="7">
        <v>18601</v>
      </c>
      <c r="O127" s="7">
        <v>1373</v>
      </c>
    </row>
    <row r="128" spans="12:15" x14ac:dyDescent="0.3">
      <c r="L128" s="5">
        <v>45642</v>
      </c>
      <c r="M128" s="7" t="s">
        <v>1</v>
      </c>
      <c r="N128" s="7">
        <v>18656</v>
      </c>
      <c r="O128" s="7">
        <v>1377</v>
      </c>
    </row>
    <row r="129" spans="12:15" x14ac:dyDescent="0.3">
      <c r="L129" s="5">
        <v>45649</v>
      </c>
      <c r="M129" s="7" t="s">
        <v>1</v>
      </c>
      <c r="N129" s="7">
        <v>47502</v>
      </c>
      <c r="O129" s="7">
        <v>730</v>
      </c>
    </row>
    <row r="130" spans="12:15" x14ac:dyDescent="0.3">
      <c r="L130" s="5">
        <v>45656</v>
      </c>
      <c r="M130" s="7" t="s">
        <v>1</v>
      </c>
      <c r="N130" s="7">
        <v>25140</v>
      </c>
      <c r="O130" s="7">
        <v>1776</v>
      </c>
    </row>
    <row r="131" spans="12:15" x14ac:dyDescent="0.3">
      <c r="L131" s="5">
        <v>45663</v>
      </c>
      <c r="M131" s="7" t="s">
        <v>1</v>
      </c>
      <c r="N131" s="7">
        <v>17951</v>
      </c>
      <c r="O131" s="7">
        <v>620</v>
      </c>
    </row>
    <row r="132" spans="12:15" x14ac:dyDescent="0.3">
      <c r="L132" s="5">
        <v>45670</v>
      </c>
      <c r="M132" s="7" t="s">
        <v>1</v>
      </c>
      <c r="N132" s="7">
        <v>45708</v>
      </c>
      <c r="O132" s="7">
        <v>298</v>
      </c>
    </row>
    <row r="133" spans="12:15" x14ac:dyDescent="0.3">
      <c r="L133" s="5">
        <v>45677</v>
      </c>
      <c r="M133" s="7" t="s">
        <v>1</v>
      </c>
      <c r="N133" s="7">
        <v>23853</v>
      </c>
      <c r="O133" s="7">
        <v>427</v>
      </c>
    </row>
    <row r="134" spans="12:15" x14ac:dyDescent="0.3">
      <c r="L134" s="5">
        <v>45684</v>
      </c>
      <c r="M134" s="7" t="s">
        <v>1</v>
      </c>
      <c r="N134" s="7">
        <v>20560</v>
      </c>
      <c r="O134" s="7">
        <v>898</v>
      </c>
    </row>
    <row r="135" spans="12:15" x14ac:dyDescent="0.3">
      <c r="L135" s="5">
        <v>45691</v>
      </c>
      <c r="M135" s="7" t="s">
        <v>1</v>
      </c>
      <c r="N135" s="7">
        <v>40323</v>
      </c>
      <c r="O135" s="7">
        <v>748</v>
      </c>
    </row>
    <row r="136" spans="12:15" x14ac:dyDescent="0.3">
      <c r="L136" s="5">
        <v>45698</v>
      </c>
      <c r="M136" s="7" t="s">
        <v>1</v>
      </c>
      <c r="N136" s="7">
        <v>23489</v>
      </c>
      <c r="O136" s="7">
        <v>912</v>
      </c>
    </row>
    <row r="137" spans="12:15" x14ac:dyDescent="0.3">
      <c r="L137" s="5">
        <v>45705</v>
      </c>
      <c r="M137" s="7" t="s">
        <v>1</v>
      </c>
      <c r="N137" s="7">
        <v>31853</v>
      </c>
      <c r="O137" s="7">
        <v>1590</v>
      </c>
    </row>
    <row r="138" spans="12:15" x14ac:dyDescent="0.3">
      <c r="L138" s="5">
        <v>45712</v>
      </c>
      <c r="M138" s="7" t="s">
        <v>1</v>
      </c>
      <c r="N138" s="7">
        <v>22713</v>
      </c>
      <c r="O138" s="7">
        <v>1707</v>
      </c>
    </row>
    <row r="139" spans="12:15" x14ac:dyDescent="0.3">
      <c r="L139" s="5">
        <v>45719</v>
      </c>
      <c r="M139" s="7" t="s">
        <v>1</v>
      </c>
      <c r="N139" s="7">
        <v>20553</v>
      </c>
      <c r="O139" s="7">
        <v>-119</v>
      </c>
    </row>
    <row r="140" spans="12:15" x14ac:dyDescent="0.3">
      <c r="L140" s="5">
        <v>45726</v>
      </c>
      <c r="M140" s="7" t="s">
        <v>1</v>
      </c>
      <c r="N140" s="7">
        <v>21539</v>
      </c>
      <c r="O140" s="7">
        <v>908</v>
      </c>
    </row>
    <row r="141" spans="12:15" x14ac:dyDescent="0.3">
      <c r="L141" s="5">
        <v>45733</v>
      </c>
      <c r="M141" s="7" t="s">
        <v>1</v>
      </c>
      <c r="N141" s="7">
        <v>29116</v>
      </c>
      <c r="O141" s="7">
        <v>1116</v>
      </c>
    </row>
    <row r="142" spans="12:15" x14ac:dyDescent="0.3">
      <c r="L142" s="5">
        <v>45740</v>
      </c>
      <c r="M142" s="7" t="s">
        <v>1</v>
      </c>
      <c r="N142" s="7">
        <v>21453</v>
      </c>
      <c r="O142" s="7">
        <v>474</v>
      </c>
    </row>
    <row r="143" spans="12:15" x14ac:dyDescent="0.3">
      <c r="L143" s="5">
        <v>45747</v>
      </c>
      <c r="M143" s="7" t="s">
        <v>1</v>
      </c>
      <c r="N143" s="7">
        <v>23461</v>
      </c>
      <c r="O143" s="7">
        <v>514</v>
      </c>
    </row>
    <row r="144" spans="12:15" x14ac:dyDescent="0.3">
      <c r="L144" s="5">
        <v>45754</v>
      </c>
      <c r="M144" s="7" t="s">
        <v>1</v>
      </c>
      <c r="N144" s="7">
        <v>47603</v>
      </c>
      <c r="O144" s="7">
        <v>1029</v>
      </c>
    </row>
    <row r="145" spans="12:15" x14ac:dyDescent="0.3">
      <c r="L145" s="5">
        <v>45761</v>
      </c>
      <c r="M145" s="7" t="s">
        <v>1</v>
      </c>
      <c r="N145" s="7">
        <v>25920</v>
      </c>
      <c r="O145" s="7">
        <v>-175</v>
      </c>
    </row>
    <row r="146" spans="12:15" x14ac:dyDescent="0.3">
      <c r="L146" s="5">
        <v>45768</v>
      </c>
      <c r="M146" s="7" t="s">
        <v>1</v>
      </c>
      <c r="N146" s="7">
        <v>7875</v>
      </c>
      <c r="O146" s="7">
        <v>1045</v>
      </c>
    </row>
    <row r="147" spans="12:15" x14ac:dyDescent="0.3">
      <c r="L147" s="5">
        <v>45775</v>
      </c>
      <c r="M147" s="7" t="s">
        <v>1</v>
      </c>
      <c r="N147" s="7">
        <v>3582</v>
      </c>
      <c r="O147" s="7">
        <v>453</v>
      </c>
    </row>
    <row r="148" spans="12:15" x14ac:dyDescent="0.3">
      <c r="L148" s="5">
        <v>45782</v>
      </c>
      <c r="M148" s="7" t="s">
        <v>1</v>
      </c>
      <c r="N148" s="7">
        <v>48419</v>
      </c>
      <c r="O148" s="7">
        <v>339</v>
      </c>
    </row>
    <row r="149" spans="12:15" x14ac:dyDescent="0.3">
      <c r="L149" s="5">
        <v>45789</v>
      </c>
      <c r="M149" s="7" t="s">
        <v>1</v>
      </c>
      <c r="N149" s="7">
        <v>49400</v>
      </c>
      <c r="O149" s="7">
        <v>407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8C14-656A-4C4F-A854-32AB221353A0}">
  <dimension ref="A1:B51"/>
  <sheetViews>
    <sheetView workbookViewId="0">
      <selection activeCell="L46" sqref="L46"/>
    </sheetView>
  </sheetViews>
  <sheetFormatPr defaultRowHeight="14.4" x14ac:dyDescent="0.3"/>
  <cols>
    <col min="1" max="1" width="8.88671875" style="15"/>
    <col min="2" max="2" width="21.6640625" style="15" customWidth="1"/>
    <col min="3" max="16384" width="8.88671875" style="15"/>
  </cols>
  <sheetData>
    <row r="1" spans="1:2" x14ac:dyDescent="0.3">
      <c r="A1" s="49" t="s">
        <v>55</v>
      </c>
      <c r="B1" s="49" t="s">
        <v>56</v>
      </c>
    </row>
    <row r="2" spans="1:2" x14ac:dyDescent="0.3">
      <c r="A2" s="50" t="s">
        <v>35</v>
      </c>
      <c r="B2" s="49">
        <v>6530</v>
      </c>
    </row>
    <row r="3" spans="1:2" x14ac:dyDescent="0.3">
      <c r="A3" s="50" t="s">
        <v>41</v>
      </c>
      <c r="B3" s="49">
        <v>5281</v>
      </c>
    </row>
    <row r="4" spans="1:2" x14ac:dyDescent="0.3">
      <c r="A4" s="50" t="s">
        <v>33</v>
      </c>
      <c r="B4" s="49">
        <v>5044</v>
      </c>
    </row>
    <row r="5" spans="1:2" x14ac:dyDescent="0.3">
      <c r="A5" s="50" t="s">
        <v>43</v>
      </c>
      <c r="B5" s="49">
        <v>4806</v>
      </c>
    </row>
    <row r="6" spans="1:2" x14ac:dyDescent="0.3">
      <c r="A6" s="50" t="s">
        <v>31</v>
      </c>
      <c r="B6" s="49">
        <v>4795</v>
      </c>
    </row>
    <row r="7" spans="1:2" x14ac:dyDescent="0.3">
      <c r="A7" s="50" t="s">
        <v>32</v>
      </c>
      <c r="B7" s="49">
        <v>4792</v>
      </c>
    </row>
    <row r="8" spans="1:2" x14ac:dyDescent="0.3">
      <c r="A8" s="50" t="s">
        <v>53</v>
      </c>
      <c r="B8" s="49">
        <v>4594</v>
      </c>
    </row>
    <row r="9" spans="1:2" x14ac:dyDescent="0.3">
      <c r="A9" s="50" t="s">
        <v>27</v>
      </c>
      <c r="B9" s="49">
        <v>4584</v>
      </c>
    </row>
    <row r="10" spans="1:2" x14ac:dyDescent="0.3">
      <c r="A10" s="50" t="s">
        <v>19</v>
      </c>
      <c r="B10" s="49">
        <v>4360</v>
      </c>
    </row>
    <row r="11" spans="1:2" x14ac:dyDescent="0.3">
      <c r="A11" s="50" t="s">
        <v>48</v>
      </c>
      <c r="B11" s="49">
        <v>4298</v>
      </c>
    </row>
    <row r="12" spans="1:2" x14ac:dyDescent="0.3">
      <c r="A12" s="50" t="s">
        <v>46</v>
      </c>
      <c r="B12" s="49">
        <v>4042</v>
      </c>
    </row>
    <row r="13" spans="1:2" x14ac:dyDescent="0.3">
      <c r="A13" s="50" t="s">
        <v>51</v>
      </c>
      <c r="B13" s="49">
        <v>4040</v>
      </c>
    </row>
    <row r="14" spans="1:2" x14ac:dyDescent="0.3">
      <c r="A14" s="50" t="s">
        <v>30</v>
      </c>
      <c r="B14" s="49">
        <v>4008</v>
      </c>
    </row>
    <row r="15" spans="1:2" x14ac:dyDescent="0.3">
      <c r="A15" s="50" t="s">
        <v>34</v>
      </c>
      <c r="B15" s="49">
        <v>3914</v>
      </c>
    </row>
    <row r="16" spans="1:2" x14ac:dyDescent="0.3">
      <c r="A16" s="50" t="s">
        <v>7</v>
      </c>
      <c r="B16" s="49">
        <v>3907</v>
      </c>
    </row>
    <row r="17" spans="1:2" x14ac:dyDescent="0.3">
      <c r="A17" s="50" t="s">
        <v>23</v>
      </c>
      <c r="B17" s="49">
        <v>3759</v>
      </c>
    </row>
    <row r="18" spans="1:2" x14ac:dyDescent="0.3">
      <c r="A18" s="50" t="s">
        <v>15</v>
      </c>
      <c r="B18" s="49">
        <v>3728</v>
      </c>
    </row>
    <row r="19" spans="1:2" x14ac:dyDescent="0.3">
      <c r="A19" s="50" t="s">
        <v>45</v>
      </c>
      <c r="B19" s="49">
        <v>3712</v>
      </c>
    </row>
    <row r="20" spans="1:2" x14ac:dyDescent="0.3">
      <c r="A20" s="50" t="s">
        <v>42</v>
      </c>
      <c r="B20" s="49">
        <v>3693</v>
      </c>
    </row>
    <row r="21" spans="1:2" x14ac:dyDescent="0.3">
      <c r="A21" s="50" t="s">
        <v>38</v>
      </c>
      <c r="B21" s="49">
        <v>3614</v>
      </c>
    </row>
    <row r="22" spans="1:2" x14ac:dyDescent="0.3">
      <c r="A22" s="50" t="s">
        <v>52</v>
      </c>
      <c r="B22" s="49">
        <v>3577</v>
      </c>
    </row>
    <row r="23" spans="1:2" x14ac:dyDescent="0.3">
      <c r="A23" s="50" t="s">
        <v>36</v>
      </c>
      <c r="B23" s="49">
        <v>3557</v>
      </c>
    </row>
    <row r="24" spans="1:2" x14ac:dyDescent="0.3">
      <c r="A24" s="50" t="s">
        <v>5</v>
      </c>
      <c r="B24" s="49">
        <v>3554</v>
      </c>
    </row>
    <row r="25" spans="1:2" x14ac:dyDescent="0.3">
      <c r="A25" s="50" t="s">
        <v>39</v>
      </c>
      <c r="B25" s="49">
        <v>3383</v>
      </c>
    </row>
    <row r="26" spans="1:2" x14ac:dyDescent="0.3">
      <c r="A26" s="50" t="s">
        <v>21</v>
      </c>
      <c r="B26" s="49">
        <v>3333</v>
      </c>
    </row>
    <row r="27" spans="1:2" x14ac:dyDescent="0.3">
      <c r="A27" s="50" t="s">
        <v>22</v>
      </c>
      <c r="B27" s="49">
        <v>3151</v>
      </c>
    </row>
    <row r="28" spans="1:2" x14ac:dyDescent="0.3">
      <c r="A28" s="50" t="s">
        <v>10</v>
      </c>
      <c r="B28" s="49">
        <v>3042</v>
      </c>
    </row>
    <row r="29" spans="1:2" x14ac:dyDescent="0.3">
      <c r="A29" s="50" t="s">
        <v>8</v>
      </c>
      <c r="B29" s="49">
        <v>3011</v>
      </c>
    </row>
    <row r="30" spans="1:2" x14ac:dyDescent="0.3">
      <c r="A30" s="50" t="s">
        <v>16</v>
      </c>
      <c r="B30" s="49">
        <v>2989</v>
      </c>
    </row>
    <row r="31" spans="1:2" x14ac:dyDescent="0.3">
      <c r="A31" s="50" t="s">
        <v>6</v>
      </c>
      <c r="B31" s="49">
        <v>2980</v>
      </c>
    </row>
    <row r="32" spans="1:2" x14ac:dyDescent="0.3">
      <c r="A32" s="50" t="s">
        <v>17</v>
      </c>
      <c r="B32" s="49">
        <v>2903</v>
      </c>
    </row>
    <row r="33" spans="1:2" x14ac:dyDescent="0.3">
      <c r="A33" s="50" t="s">
        <v>18</v>
      </c>
      <c r="B33" s="49">
        <v>2822</v>
      </c>
    </row>
    <row r="34" spans="1:2" x14ac:dyDescent="0.3">
      <c r="A34" s="50" t="s">
        <v>25</v>
      </c>
      <c r="B34" s="49">
        <v>2821</v>
      </c>
    </row>
    <row r="35" spans="1:2" x14ac:dyDescent="0.3">
      <c r="A35" s="50" t="s">
        <v>37</v>
      </c>
      <c r="B35" s="49">
        <v>2777</v>
      </c>
    </row>
    <row r="36" spans="1:2" x14ac:dyDescent="0.3">
      <c r="A36" s="50" t="s">
        <v>12</v>
      </c>
      <c r="B36" s="49">
        <v>2753</v>
      </c>
    </row>
    <row r="37" spans="1:2" x14ac:dyDescent="0.3">
      <c r="A37" s="50" t="s">
        <v>26</v>
      </c>
      <c r="B37" s="49">
        <v>2656</v>
      </c>
    </row>
    <row r="38" spans="1:2" x14ac:dyDescent="0.3">
      <c r="A38" s="50" t="s">
        <v>49</v>
      </c>
      <c r="B38" s="49">
        <v>2412</v>
      </c>
    </row>
    <row r="39" spans="1:2" x14ac:dyDescent="0.3">
      <c r="A39" s="50" t="s">
        <v>44</v>
      </c>
      <c r="B39" s="49">
        <v>2410</v>
      </c>
    </row>
    <row r="40" spans="1:2" x14ac:dyDescent="0.3">
      <c r="A40" s="50" t="s">
        <v>28</v>
      </c>
      <c r="B40" s="49">
        <v>2295</v>
      </c>
    </row>
    <row r="41" spans="1:2" x14ac:dyDescent="0.3">
      <c r="A41" s="50" t="s">
        <v>11</v>
      </c>
      <c r="B41" s="49">
        <v>2270</v>
      </c>
    </row>
    <row r="42" spans="1:2" x14ac:dyDescent="0.3">
      <c r="A42" s="50" t="s">
        <v>40</v>
      </c>
      <c r="B42" s="49">
        <v>2194</v>
      </c>
    </row>
    <row r="43" spans="1:2" x14ac:dyDescent="0.3">
      <c r="A43" s="50" t="s">
        <v>13</v>
      </c>
      <c r="B43" s="49">
        <v>2193</v>
      </c>
    </row>
    <row r="44" spans="1:2" x14ac:dyDescent="0.3">
      <c r="A44" s="50" t="s">
        <v>54</v>
      </c>
      <c r="B44" s="49">
        <v>1995</v>
      </c>
    </row>
    <row r="45" spans="1:2" x14ac:dyDescent="0.3">
      <c r="A45" s="50" t="s">
        <v>24</v>
      </c>
      <c r="B45" s="49">
        <v>1856</v>
      </c>
    </row>
    <row r="46" spans="1:2" x14ac:dyDescent="0.3">
      <c r="A46" s="50" t="s">
        <v>47</v>
      </c>
      <c r="B46" s="49">
        <v>1616</v>
      </c>
    </row>
    <row r="47" spans="1:2" x14ac:dyDescent="0.3">
      <c r="A47" s="50" t="s">
        <v>20</v>
      </c>
      <c r="B47" s="49">
        <v>1568</v>
      </c>
    </row>
    <row r="48" spans="1:2" x14ac:dyDescent="0.3">
      <c r="A48" s="50" t="s">
        <v>9</v>
      </c>
      <c r="B48" s="49">
        <v>1293</v>
      </c>
    </row>
    <row r="49" spans="1:2" x14ac:dyDescent="0.3">
      <c r="A49" s="50" t="s">
        <v>14</v>
      </c>
      <c r="B49" s="49">
        <v>802</v>
      </c>
    </row>
    <row r="50" spans="1:2" x14ac:dyDescent="0.3">
      <c r="A50" s="50" t="s">
        <v>29</v>
      </c>
      <c r="B50" s="49">
        <v>528</v>
      </c>
    </row>
    <row r="51" spans="1:2" x14ac:dyDescent="0.3">
      <c r="A51" s="50" t="s">
        <v>50</v>
      </c>
      <c r="B51" s="49">
        <v>-137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738C05A5-78A6-4D0A-9197-09B88E5A2CA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A3:A51</xm:sqref>
        </x14:conditionalFormatting>
        <x14:conditionalFormatting xmlns:xm="http://schemas.microsoft.com/office/excel/2006/main">
          <x14:cfRule type="iconSet" priority="3" id="{50F39EE5-931C-4E30-8A69-DA8280A87C9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A3:A51</xm:sqref>
        </x14:conditionalFormatting>
        <x14:conditionalFormatting xmlns:xm="http://schemas.microsoft.com/office/excel/2006/main">
          <x14:cfRule type="iconSet" priority="2" id="{4B4F71C6-A9B9-4FC6-A257-7DD134F3595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A2:A51</xm:sqref>
        </x14:conditionalFormatting>
        <x14:conditionalFormatting xmlns:xm="http://schemas.microsoft.com/office/excel/2006/main" pivot="1">
          <x14:cfRule type="iconSet" priority="1" id="{17DE24A7-83B7-4ED3-9499-4DD73988B7B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B2:B51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F37A-CB2C-4C7C-AE81-E4CA654B0BE7}">
  <dimension ref="B3"/>
  <sheetViews>
    <sheetView workbookViewId="0">
      <selection activeCell="B3" sqref="B3"/>
    </sheetView>
  </sheetViews>
  <sheetFormatPr defaultRowHeight="14.4" x14ac:dyDescent="0.3"/>
  <cols>
    <col min="2" max="2" width="74.6640625" customWidth="1"/>
  </cols>
  <sheetData>
    <row r="3" spans="2:2" x14ac:dyDescent="0.3">
      <c r="B3" s="87" t="str">
        <f>HYPERLINK("https://drive.google.com/file/d/1LgQFSvMUX-D-p7fhsuPaGV7aOdau1Coh/view?usp=sharing")</f>
        <v>https://drive.google.com/file/d/1LgQFSvMUX-D-p7fhsuPaGV7aOdau1Coh/view?usp=sharing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F0EFBD-253E-4DF9-9531-BA9C4306E4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 Introduction</vt:lpstr>
      <vt:lpstr>Post</vt:lpstr>
      <vt:lpstr>Campaign Data</vt:lpstr>
      <vt:lpstr> Raw_data</vt:lpstr>
      <vt:lpstr> Normalized_hastags</vt:lpstr>
      <vt:lpstr>Engagment Summary</vt:lpstr>
      <vt:lpstr> Content_enagement</vt:lpstr>
      <vt:lpstr> Top_Engagement_Posts</vt:lpstr>
      <vt:lpstr> Avg_Clicks_By_Hashtag</vt:lpstr>
      <vt:lpstr> Total Likes, Shares, Comments </vt:lpstr>
      <vt:lpstr> hastags_Engagement</vt:lpstr>
      <vt:lpstr>task-3---&gt;</vt:lpstr>
      <vt:lpstr> platform_highest_Engageme</vt:lpstr>
      <vt:lpstr> Follower_Growth_By_Platform</vt:lpstr>
      <vt:lpstr>  Engagement_vs_Ad_Spends</vt:lpstr>
      <vt:lpstr> task-4---&gt;</vt:lpstr>
      <vt:lpstr> most_frequent_ha</vt:lpstr>
      <vt:lpstr> content_performance</vt:lpstr>
      <vt:lpstr>  average performance of posts </vt:lpstr>
      <vt:lpstr> task-5--&gt;</vt:lpstr>
      <vt:lpstr> Total &amp; Average Impressions, L</vt:lpstr>
      <vt:lpstr> Engagement uplift during vs. b</vt:lpstr>
      <vt:lpstr> Engagement_uplift</vt:lpstr>
      <vt:lpstr> task-6--&gt;</vt:lpstr>
      <vt:lpstr> weekly follower growth per pla</vt:lpstr>
      <vt:lpstr> averages to smooth growth </vt:lpstr>
      <vt:lpstr> Correlate ad_spends. followe</vt:lpstr>
      <vt:lpstr> Net_follower_gain_weeks</vt:lpstr>
      <vt:lpstr> Video_link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Singh</dc:creator>
  <cp:lastModifiedBy>Shivansh Singh</cp:lastModifiedBy>
  <dcterms:created xsi:type="dcterms:W3CDTF">2025-12-23T10:12:07Z</dcterms:created>
  <dcterms:modified xsi:type="dcterms:W3CDTF">2025-12-25T14:48:45Z</dcterms:modified>
</cp:coreProperties>
</file>